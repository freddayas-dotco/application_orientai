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SOURCES" sheetId="1" state="hidden" r:id="rId1"/>
    <sheet xmlns:r="http://schemas.openxmlformats.org/officeDocument/2006/relationships" name="Questionnaire " sheetId="2" state="visible" r:id="rId2"/>
    <sheet xmlns:r="http://schemas.openxmlformats.org/officeDocument/2006/relationships" name="Résultat test questionnaire" sheetId="3" state="visible" r:id="rId3"/>
    <sheet xmlns:r="http://schemas.openxmlformats.org/officeDocument/2006/relationships" name="Synthése réponses questionnaire" sheetId="4" state="hidden" r:id="rId4"/>
    <sheet xmlns:r="http://schemas.openxmlformats.org/officeDocument/2006/relationships" name="PUBLIPOSTAGE " sheetId="5" state="visible" r:id="rId5"/>
    <sheet xmlns:r="http://schemas.openxmlformats.org/officeDocument/2006/relationships" name="mode de lecture soft skills" sheetId="6" state="hidden" r:id="rId6"/>
    <sheet xmlns:r="http://schemas.openxmlformats.org/officeDocument/2006/relationships" name="liste déroulante" sheetId="7" state="visible" r:id="rId7"/>
    <sheet xmlns:r="http://schemas.openxmlformats.org/officeDocument/2006/relationships" name="Feuil1" sheetId="8" state="visible" r:id="rId8"/>
  </sheets>
  <definedNames>
    <definedName name="_xlnm._FilterDatabase" localSheetId="1" hidden="1">'Questionnaire '!$A$2:$U$74</definedName>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rgb="FF000000"/>
      <sz val="11"/>
      <scheme val="minor"/>
    </font>
    <font>
      <name val="Calibri"/>
      <family val="2"/>
      <color theme="10"/>
      <sz val="11"/>
      <u val="single"/>
      <scheme val="minor"/>
    </font>
    <font>
      <name val="Calibri"/>
      <family val="2"/>
      <color theme="1"/>
      <sz val="11"/>
      <scheme val="minor"/>
    </font>
    <font>
      <name val="Calibri"/>
      <family val="2"/>
      <b val="1"/>
      <color theme="1"/>
      <sz val="11"/>
      <scheme val="minor"/>
    </font>
    <font>
      <name val="Arial"/>
      <b val="1"/>
      <color rgb="00FFFFFF"/>
      <sz val="9"/>
    </font>
    <font>
      <name val="Arial"/>
      <b val="1"/>
      <sz val="11"/>
    </font>
    <font>
      <name val="Arial"/>
      <b val="1"/>
      <sz val="9"/>
    </font>
  </fonts>
  <fills count="12">
    <fill>
      <patternFill/>
    </fill>
    <fill>
      <patternFill patternType="gray125"/>
    </fill>
    <fill>
      <patternFill patternType="solid">
        <fgColor rgb="FFBDD6EE"/>
        <bgColor indexed="64"/>
      </patternFill>
    </fill>
    <fill>
      <patternFill patternType="solid">
        <fgColor theme="0"/>
        <bgColor indexed="64"/>
      </patternFill>
    </fill>
    <fill>
      <patternFill patternType="solid">
        <fgColor rgb="FFFFC000"/>
        <bgColor indexed="64"/>
      </patternFill>
    </fill>
    <fill>
      <patternFill patternType="solid">
        <fgColor theme="8" tint="0.5999938962981048"/>
        <bgColor indexed="64"/>
      </patternFill>
    </fill>
    <fill>
      <patternFill patternType="solid">
        <fgColor rgb="FF92D050"/>
        <bgColor indexed="64"/>
      </patternFill>
    </fill>
    <fill>
      <patternFill patternType="solid">
        <fgColor theme="9" tint="0.5999938962981048"/>
        <bgColor indexed="64"/>
      </patternFill>
    </fill>
    <fill>
      <patternFill patternType="solid">
        <fgColor theme="8"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rgb="001A1A2E"/>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rgb="00D8D2C5"/>
      </left>
      <right style="thin">
        <color rgb="00D8D2C5"/>
      </right>
      <top style="thin">
        <color rgb="00D8D2C5"/>
      </top>
      <bottom style="thin">
        <color rgb="00D8D2C5"/>
      </bottom>
    </border>
  </borders>
  <cellStyleXfs count="4">
    <xf numFmtId="0" fontId="3" fillId="0" borderId="0"/>
    <xf numFmtId="0" fontId="2" fillId="0" borderId="0"/>
    <xf numFmtId="9" fontId="3" fillId="0" borderId="0"/>
    <xf numFmtId="0" fontId="3" fillId="0" borderId="0"/>
  </cellStyleXfs>
  <cellXfs count="55">
    <xf numFmtId="0" fontId="0" fillId="0" borderId="0" pivotButton="0" quotePrefix="0" xfId="0"/>
    <xf numFmtId="0" fontId="0" fillId="0" borderId="1" applyAlignment="1" pivotButton="0" quotePrefix="0" xfId="0">
      <alignment vertical="center" wrapText="1"/>
    </xf>
    <xf numFmtId="0" fontId="1" fillId="2" borderId="1" applyAlignment="1" pivotButton="0" quotePrefix="0" xfId="0">
      <alignment vertical="center" wrapText="1"/>
    </xf>
    <xf numFmtId="0" fontId="2" fillId="0" borderId="0" applyAlignment="1" pivotButton="0" quotePrefix="0" xfId="1">
      <alignment wrapText="1"/>
    </xf>
    <xf numFmtId="0" fontId="2" fillId="0" borderId="0" pivotButton="0" quotePrefix="0" xfId="1"/>
    <xf numFmtId="0" fontId="0" fillId="0" borderId="0" applyAlignment="1" pivotButton="0" quotePrefix="0" xfId="0">
      <alignment vertical="top"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xf>
    <xf numFmtId="0" fontId="0" fillId="0" borderId="0" applyAlignment="1" pivotButton="0" quotePrefix="0" xfId="0">
      <alignment wrapText="1"/>
    </xf>
    <xf numFmtId="0" fontId="0" fillId="3" borderId="1" applyAlignment="1" pivotButton="0" quotePrefix="0" xfId="0">
      <alignment vertical="center" wrapText="1"/>
    </xf>
    <xf numFmtId="0" fontId="1" fillId="0" borderId="0" applyAlignment="1" pivotButton="0" quotePrefix="0" xfId="0">
      <alignment vertical="center"/>
    </xf>
    <xf numFmtId="0" fontId="0" fillId="0" borderId="0" applyAlignment="1" pivotButton="0" quotePrefix="0" xfId="0">
      <alignment vertical="center" wrapText="1"/>
    </xf>
    <xf numFmtId="0" fontId="1" fillId="4" borderId="1" applyAlignment="1" pivotButton="0" quotePrefix="0" xfId="0">
      <alignment horizontal="center" vertical="center" wrapText="1"/>
    </xf>
    <xf numFmtId="0" fontId="0" fillId="0" borderId="0" applyAlignment="1" pivotButton="0" quotePrefix="0" xfId="0">
      <alignment horizontal="center"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1" applyAlignment="1" pivotButton="0" quotePrefix="0" xfId="0">
      <alignment vertical="center"/>
    </xf>
    <xf numFmtId="9" fontId="0" fillId="0" borderId="1" pivotButton="0" quotePrefix="0" xfId="2"/>
    <xf numFmtId="0" fontId="0" fillId="3" borderId="1" applyAlignment="1" pivotButton="0" quotePrefix="0" xfId="0">
      <alignment horizontal="center" vertical="center" wrapText="1"/>
    </xf>
    <xf numFmtId="0" fontId="1" fillId="5" borderId="1" applyAlignment="1" pivotButton="0" quotePrefix="0" xfId="0">
      <alignment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1" fillId="6"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3" borderId="1" applyAlignment="1" pivotButton="0" quotePrefix="0" xfId="0">
      <alignment horizontal="center" vertical="top" wrapText="1"/>
    </xf>
    <xf numFmtId="0" fontId="0" fillId="0" borderId="0" applyAlignment="1" pivotButton="0" quotePrefix="0" xfId="0">
      <alignment horizontal="center" vertical="top" wrapText="1"/>
    </xf>
    <xf numFmtId="0" fontId="1" fillId="0" borderId="1" applyAlignment="1" pivotButton="0" quotePrefix="0" xfId="0">
      <alignment horizontal="center" vertical="top" wrapText="1"/>
    </xf>
    <xf numFmtId="0" fontId="0" fillId="5"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0" borderId="2" pivotButton="0" quotePrefix="0" xfId="0"/>
    <xf numFmtId="9" fontId="0" fillId="0" borderId="2" pivotButton="0" quotePrefix="0" xfId="2"/>
    <xf numFmtId="0" fontId="4" fillId="0" borderId="0" applyAlignment="1" pivotButton="0" quotePrefix="0" xfId="0">
      <alignment horizontal="center" wrapText="1"/>
    </xf>
    <xf numFmtId="0" fontId="1" fillId="5" borderId="3" applyAlignment="1" pivotButton="0" quotePrefix="0" xfId="0">
      <alignment vertical="center" wrapText="1"/>
    </xf>
    <xf numFmtId="0" fontId="0" fillId="0" borderId="3" applyAlignment="1" pivotButton="0" quotePrefix="0" xfId="0">
      <alignment vertical="center" wrapText="1"/>
    </xf>
    <xf numFmtId="0" fontId="1" fillId="4" borderId="4" applyAlignment="1" pivotButton="0" quotePrefix="0" xfId="0">
      <alignment vertical="center" wrapText="1"/>
    </xf>
    <xf numFmtId="0" fontId="0" fillId="0" borderId="4" applyAlignment="1" pivotButton="0" quotePrefix="0" xfId="0">
      <alignment horizontal="left" vertical="top" wrapText="1"/>
    </xf>
    <xf numFmtId="0" fontId="1" fillId="5" borderId="5" applyAlignment="1" pivotButton="0" quotePrefix="0" xfId="0">
      <alignment vertical="center" wrapText="1"/>
    </xf>
    <xf numFmtId="0" fontId="1" fillId="5" borderId="6" applyAlignment="1" pivotButton="0" quotePrefix="0" xfId="0">
      <alignment horizontal="center" vertical="center" wrapText="1"/>
    </xf>
    <xf numFmtId="0" fontId="1" fillId="5" borderId="7" applyAlignment="1" pivotButton="0" quotePrefix="0" xfId="0">
      <alignment horizontal="center"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0" fillId="3" borderId="10" applyAlignment="1" pivotButton="0" quotePrefix="0" xfId="0">
      <alignment vertical="center" wrapText="1"/>
    </xf>
    <xf numFmtId="0" fontId="0" fillId="10" borderId="1" applyAlignment="1" pivotButton="0" quotePrefix="0" xfId="0">
      <alignment horizontal="center" vertical="center" wrapText="1"/>
    </xf>
    <xf numFmtId="0" fontId="0" fillId="8" borderId="11" applyAlignment="1" applyProtection="1" pivotButton="0" quotePrefix="0" xfId="0">
      <alignment horizontal="center" vertical="center" wrapText="1"/>
      <protection locked="0" hidden="0"/>
    </xf>
    <xf numFmtId="0" fontId="0" fillId="9"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xf>
    <xf numFmtId="0" fontId="0" fillId="0" borderId="14" pivotButton="0" quotePrefix="0" xfId="0"/>
    <xf numFmtId="0" fontId="0" fillId="0" borderId="4" pivotButton="0" quotePrefix="0" xfId="0"/>
    <xf numFmtId="0" fontId="5" fillId="11" borderId="17" applyAlignment="1" pivotButton="0" quotePrefix="0" xfId="0">
      <alignment horizontal="center" vertical="center" wrapText="1"/>
    </xf>
    <xf numFmtId="0" fontId="6" fillId="0" borderId="17" applyAlignment="1" pivotButton="0" quotePrefix="0" xfId="0">
      <alignment horizontal="center" vertical="center"/>
    </xf>
    <xf numFmtId="0" fontId="7" fillId="0" borderId="1" pivotButton="0" quotePrefix="0" xfId="0"/>
  </cellXfs>
  <cellStyles count="4">
    <cellStyle name="Normal" xfId="0" builtinId="0"/>
    <cellStyle name="Lien hypertexte" xfId="1" builtinId="8"/>
    <cellStyle name="Pourcentage" xfId="2" builtinId="5"/>
    <cellStyle name="Normal 2" xfId="3"/>
  </cellStyles>
  <dxfs count="18">
    <dxf>
      <font>
        <b val="1"/>
        <color theme="0"/>
      </font>
      <fill>
        <patternFill>
          <bgColor rgb="FF00B050"/>
        </patternFill>
      </fill>
      <border>
        <left style="thin">
          <color auto="1"/>
        </left>
        <right style="thin">
          <color auto="1"/>
        </right>
        <top style="thin">
          <color auto="1"/>
        </top>
        <bottom style="thin">
          <color auto="1"/>
        </bottom>
        <vertical/>
        <horizontal/>
      </border>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border>
        <left style="thin">
          <color auto="1"/>
        </left>
        <right style="thin">
          <color auto="1"/>
        </right>
        <top style="thin">
          <color auto="1"/>
        </top>
        <bottom style="thin">
          <color auto="1"/>
        </bottom>
        <vertical/>
        <horizontal/>
      </border>
    </dxf>
    <dxf>
      <font>
        <b val="1"/>
        <color theme="0"/>
      </font>
      <fill>
        <patternFill>
          <bgColor rgb="FF00B050"/>
        </patternFill>
      </fill>
    </dxf>
    <dxf>
      <font>
        <b val="1"/>
        <color theme="0"/>
      </font>
      <fill>
        <patternFill>
          <bgColor rgb="FF00B050"/>
        </patternFill>
      </fill>
    </dxf>
    <dxf>
      <font>
        <b val="1"/>
        <color theme="0"/>
      </font>
      <fill>
        <patternFill>
          <bgColor rgb="FF00B050"/>
        </patternFill>
      </fill>
      <border>
        <left style="thin">
          <color auto="1"/>
        </left>
        <right style="thin">
          <color auto="1"/>
        </right>
        <top style="thin">
          <color auto="1"/>
        </top>
        <bottom style="thin">
          <color auto="1"/>
        </bottom>
        <vertical/>
        <horizontal/>
      </border>
    </dxf>
    <dxf>
      <font>
        <b val="1"/>
        <color theme="0"/>
      </font>
      <fill>
        <patternFill>
          <bgColor rgb="FF00B050"/>
        </patternFill>
      </fill>
    </dxf>
    <dxf>
      <font>
        <b val="1"/>
        <color theme="0"/>
      </font>
      <fill>
        <patternFill>
          <bgColor rgb="FF00B050"/>
        </patternFill>
      </fill>
    </dxf>
    <dxf>
      <font>
        <b val="1"/>
        <color theme="0"/>
      </font>
      <fill>
        <patternFill>
          <bgColor rgb="FF00B050"/>
        </patternFill>
      </fill>
      <border>
        <left style="thin">
          <color auto="1"/>
        </left>
        <right style="thin">
          <color auto="1"/>
        </right>
        <top style="thin">
          <color auto="1"/>
        </top>
        <bottom style="thin">
          <color auto="1"/>
        </bottom>
        <vertical/>
        <horizontal/>
      </border>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
      <font>
        <b val="1"/>
        <color theme="0"/>
      </font>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cap="all" baseline="0">
                <a:solidFill>
                  <a:schemeClr val="tx1">
                    <a:lumMod val="65000"/>
                    <a:lumOff val="35000"/>
                  </a:schemeClr>
                </a:solidFill>
                <a:latin typeface="+mn-lt"/>
                <a:ea typeface="+mn-ea"/>
                <a:cs typeface="+mn-cs"/>
              </a:defRPr>
            </a:pPr>
            <a:r>
              <a:rPr lang="en-US"/>
              <a:t>Schéma de personnalité</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cap="all" baseline="0">
              <a:solidFill>
                <a:schemeClr val="tx1">
                  <a:lumMod val="65000"/>
                  <a:lumOff val="35000"/>
                </a:schemeClr>
              </a:solidFill>
              <a:latin typeface="+mn-lt"/>
              <a:ea typeface="+mn-ea"/>
              <a:cs typeface="+mn-cs"/>
            </a:defRPr>
          </a:pPr>
          <a:r>
            <a:t>None</a:t>
          </a:r>
          <a:endParaRPr lang="fr-FR"/>
        </a:p>
      </txPr>
    </title>
    <plotArea>
      <layout/>
      <pieChart>
        <varyColors val="1"/>
        <ser>
          <idx val="0"/>
          <order val="0"/>
          <tx>
            <strRef>
              <f>'Résultat test questionnaire'!$G$3</f>
              <strCache>
                <ptCount val="1"/>
                <pt idx="0">
                  <v>Schéma de personnalité</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pPr>
          </dPt>
          <dPt>
            <idx val="1"/>
            <bubble3D val="0"/>
            <spPr>
              <a:solidFill xmlns:a="http://schemas.openxmlformats.org/drawingml/2006/main">
                <a:schemeClr val="accent2"/>
              </a:solidFill>
              <a:ln xmlns:a="http://schemas.openxmlformats.org/drawingml/2006/main">
                <a:noFill/>
                <a:prstDash val="solid"/>
              </a:ln>
            </spPr>
          </dPt>
          <dPt>
            <idx val="2"/>
            <bubble3D val="0"/>
            <spPr>
              <a:solidFill xmlns:a="http://schemas.openxmlformats.org/drawingml/2006/main">
                <a:schemeClr val="accent3"/>
              </a:solidFill>
              <a:ln xmlns:a="http://schemas.openxmlformats.org/drawingml/2006/main">
                <a:noFill/>
                <a:prstDash val="solid"/>
              </a:ln>
            </spPr>
          </dPt>
          <dPt>
            <idx val="3"/>
            <bubble3D val="0"/>
            <spPr>
              <a:solidFill xmlns:a="http://schemas.openxmlformats.org/drawingml/2006/main">
                <a:schemeClr val="accent4"/>
              </a:solidFill>
              <a:ln xmlns:a="http://schemas.openxmlformats.org/drawingml/2006/main">
                <a:noFill/>
                <a:prstDash val="solid"/>
              </a:ln>
            </spPr>
          </dPt>
          <dPt>
            <idx val="4"/>
            <bubble3D val="0"/>
            <spPr>
              <a:solidFill xmlns:a="http://schemas.openxmlformats.org/drawingml/2006/main">
                <a:schemeClr val="accent5"/>
              </a:solidFill>
              <a:ln xmlns:a="http://schemas.openxmlformats.org/drawingml/2006/main">
                <a:noFill/>
                <a:prstDash val="solid"/>
              </a:ln>
            </spPr>
          </dPt>
          <dPt>
            <idx val="5"/>
            <bubble3D val="0"/>
            <spPr>
              <a:solidFill xmlns:a="http://schemas.openxmlformats.org/drawingml/2006/main">
                <a:schemeClr val="accent6"/>
              </a:solidFill>
              <a:ln xmlns:a="http://schemas.openxmlformats.org/drawingml/2006/main">
                <a:noFill/>
                <a:prstDash val="solid"/>
              </a:ln>
            </spPr>
          </dPt>
          <dPt>
            <idx val="6"/>
            <bubble3D val="0"/>
            <spPr>
              <a:solidFill xmlns:a="http://schemas.openxmlformats.org/drawingml/2006/main">
                <a:schemeClr val="accent1">
                  <a:lumMod val="60000"/>
                </a:schemeClr>
              </a:solidFill>
              <a:ln xmlns:a="http://schemas.openxmlformats.org/drawingml/2006/main">
                <a:noFill/>
                <a:prstDash val="solid"/>
              </a:ln>
            </spPr>
          </dPt>
          <dPt>
            <idx val="7"/>
            <bubble3D val="0"/>
            <spPr>
              <a:solidFill xmlns:a="http://schemas.openxmlformats.org/drawingml/2006/main">
                <a:schemeClr val="accent2">
                  <a:lumMod val="60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1"/>
                      </a:solidFill>
                      <a:latin typeface="+mn-lt"/>
                      <a:ea typeface="+mn-ea"/>
                      <a:cs typeface="+mn-cs"/>
                    </a:defRPr>
                  </a:pPr>
                  <a:r>
                    <a:t>None</a:t>
                  </a:r>
                  <a:endParaRPr lang="fr-FR"/>
                </a:p>
              </txPr>
              <dLblPos val="outEnd"/>
              <showLegendKey val="0"/>
              <showVal val="1"/>
              <showCatName val="1"/>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2"/>
                      </a:solidFill>
                      <a:latin typeface="+mn-lt"/>
                      <a:ea typeface="+mn-ea"/>
                      <a:cs typeface="+mn-cs"/>
                    </a:defRPr>
                  </a:pPr>
                  <a:r>
                    <a:t>None</a:t>
                  </a:r>
                  <a:endParaRPr lang="fr-FR"/>
                </a:p>
              </txPr>
              <dLblPos val="outEnd"/>
              <showLegendKey val="0"/>
              <showVal val="1"/>
              <showCatName val="1"/>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3"/>
                      </a:solidFill>
                      <a:latin typeface="+mn-lt"/>
                      <a:ea typeface="+mn-ea"/>
                      <a:cs typeface="+mn-cs"/>
                    </a:defRPr>
                  </a:pPr>
                  <a:r>
                    <a:t>None</a:t>
                  </a:r>
                  <a:endParaRPr lang="fr-FR"/>
                </a:p>
              </txPr>
              <dLblPos val="outEnd"/>
              <showLegendKey val="0"/>
              <showVal val="1"/>
              <showCatName val="1"/>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4"/>
                      </a:solidFill>
                      <a:latin typeface="+mn-lt"/>
                      <a:ea typeface="+mn-ea"/>
                      <a:cs typeface="+mn-cs"/>
                    </a:defRPr>
                  </a:pPr>
                  <a:r>
                    <a:t>None</a:t>
                  </a:r>
                  <a:endParaRPr lang="fr-FR"/>
                </a:p>
              </txPr>
              <dLblPos val="bestFit"/>
              <showLegendKey val="0"/>
              <showVal val="1"/>
              <showCatName val="1"/>
              <showSerName val="0"/>
              <showPercent val="0"/>
              <showBubbleSize val="0"/>
            </dLbl>
            <dLbl>
              <idx val="4"/>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5"/>
                      </a:solidFill>
                      <a:latin typeface="+mn-lt"/>
                      <a:ea typeface="+mn-ea"/>
                      <a:cs typeface="+mn-cs"/>
                    </a:defRPr>
                  </a:pPr>
                  <a:r>
                    <a:t>None</a:t>
                  </a:r>
                  <a:endParaRPr lang="fr-FR"/>
                </a:p>
              </txPr>
              <dLblPos val="outEnd"/>
              <showLegendKey val="0"/>
              <showVal val="1"/>
              <showCatName val="1"/>
              <showSerName val="0"/>
              <showPercent val="0"/>
              <showBubbleSize val="0"/>
            </dLbl>
            <dLbl>
              <idx val="5"/>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6"/>
                      </a:solidFill>
                      <a:latin typeface="+mn-lt"/>
                      <a:ea typeface="+mn-ea"/>
                      <a:cs typeface="+mn-cs"/>
                    </a:defRPr>
                  </a:pPr>
                  <a:r>
                    <a:t>None</a:t>
                  </a:r>
                  <a:endParaRPr lang="fr-FR"/>
                </a:p>
              </txPr>
              <dLblPos val="outEnd"/>
              <showLegendKey val="0"/>
              <showVal val="1"/>
              <showCatName val="1"/>
              <showSerName val="0"/>
              <showPercent val="0"/>
              <showBubbleSize val="0"/>
            </dLbl>
            <dLbl>
              <idx val="6"/>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1">
                          <a:lumMod val="60000"/>
                        </a:schemeClr>
                      </a:solidFill>
                      <a:latin typeface="+mn-lt"/>
                      <a:ea typeface="+mn-ea"/>
                      <a:cs typeface="+mn-cs"/>
                    </a:defRPr>
                  </a:pPr>
                  <a:r>
                    <a:t>None</a:t>
                  </a:r>
                  <a:endParaRPr lang="fr-FR"/>
                </a:p>
              </txPr>
              <dLblPos val="outEnd"/>
              <showLegendKey val="0"/>
              <showVal val="1"/>
              <showCatName val="1"/>
              <showSerName val="0"/>
              <showPercent val="0"/>
              <showBubbleSize val="0"/>
            </dLbl>
            <dLbl>
              <idx val="7"/>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2">
                          <a:lumMod val="60000"/>
                        </a:schemeClr>
                      </a:solidFill>
                      <a:latin typeface="+mn-lt"/>
                      <a:ea typeface="+mn-ea"/>
                      <a:cs typeface="+mn-cs"/>
                    </a:defRPr>
                  </a:pPr>
                  <a:r>
                    <a:t>None</a:t>
                  </a:r>
                  <a:endParaRPr lang="fr-FR"/>
                </a:p>
              </txPr>
              <dLblPos val="outEnd"/>
              <showLegendKey val="0"/>
              <showVal val="1"/>
              <showCatName val="1"/>
              <showSerName val="0"/>
              <showPercent val="0"/>
              <showBubbleSize val="0"/>
            </dLbl>
            <spPr>
              <a:noFill xmlns:a="http://schemas.openxmlformats.org/drawingml/2006/main"/>
              <a:ln xmlns:a="http://schemas.openxmlformats.org/drawingml/2006/main">
                <a:noFill/>
                <a:prstDash val="solid"/>
              </a:ln>
            </spPr>
            <dLblPos val="outEnd"/>
            <showLegendKey val="0"/>
            <showVal val="1"/>
            <showCatName val="1"/>
            <showSerName val="0"/>
            <showPercent val="0"/>
            <showBubbleSize val="0"/>
            <showLeaderLines val="1"/>
          </dLbls>
          <cat>
            <strRef>
              <f>'Résultat test questionnaire'!$B$4:$B$11</f>
              <strCache>
                <ptCount val="8"/>
                <pt idx="0">
                  <v>Communication</v>
                </pt>
                <pt idx="1">
                  <v>Esprit critique</v>
                </pt>
                <pt idx="2">
                  <v>Ethique</v>
                </pt>
                <pt idx="3">
                  <v>Intelligence émotionnelle</v>
                </pt>
                <pt idx="4">
                  <v>Intelligence sociale</v>
                </pt>
                <pt idx="5">
                  <v>Management de projet</v>
                </pt>
                <pt idx="6">
                  <v>Management et gestion d'équipe</v>
                </pt>
                <pt idx="7">
                  <v>Organisation</v>
                </pt>
              </strCache>
            </strRef>
          </cat>
          <val>
            <numRef>
              <f>'Résultat test questionnaire'!$G$4:$G$11</f>
              <numCache>
                <formatCode>0%</formatCode>
                <ptCount val="8"/>
                <pt idx="0">
                  <v>1</v>
                </pt>
                <pt idx="1">
                  <v>0</v>
                </pt>
                <pt idx="2">
                  <v>0</v>
                </pt>
                <pt idx="3">
                  <v>0</v>
                </pt>
                <pt idx="4">
                  <v>0</v>
                </pt>
                <pt idx="5">
                  <v>0</v>
                </pt>
                <pt idx="6">
                  <v>0</v>
                </pt>
                <pt idx="7">
                  <v>0</v>
                </pt>
              </numCache>
            </numRef>
          </val>
        </ser>
        <dLbls>
          <dLblPos val="outEnd"/>
          <showLegendKey val="0"/>
          <showVal val="1"/>
          <showCatName val="0"/>
          <showSerName val="0"/>
          <showPercent val="0"/>
          <showBubbleSize val="0"/>
          <showLeaderLines val="1"/>
        </dLbls>
        <firstSliceAng val="0"/>
      </pieChart>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Pourcentage de réponses en accord avec la catégorie.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fr-FR"/>
        </a:p>
      </txPr>
    </title>
    <plotArea>
      <layout/>
      <barChart>
        <barDir val="col"/>
        <grouping val="clustered"/>
        <varyColors val="0"/>
        <ser>
          <idx val="0"/>
          <order val="0"/>
          <tx>
            <strRef>
              <f>'Résultat test questionnaire'!$E$3</f>
              <strCache>
                <ptCount val="1"/>
                <pt idx="0">
                  <v>Pourcentage de réponses en accord avec la catégorie</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fr-FR"/>
              </a:p>
            </txPr>
            <dLblPos val="outEnd"/>
            <showLegendKey val="0"/>
            <showVal val="1"/>
            <showCatName val="0"/>
            <showSerName val="0"/>
            <showPercent val="0"/>
            <showBubbleSize val="0"/>
            <showLeaderLines val="0"/>
          </dLbls>
          <cat>
            <strRef>
              <f>'Résultat test questionnaire'!$B$4:$B$11</f>
              <strCache>
                <ptCount val="8"/>
                <pt idx="0">
                  <v>Communication</v>
                </pt>
                <pt idx="1">
                  <v>Esprit critique</v>
                </pt>
                <pt idx="2">
                  <v>Ethique</v>
                </pt>
                <pt idx="3">
                  <v>Intelligence émotionnelle</v>
                </pt>
                <pt idx="4">
                  <v>Intelligence sociale</v>
                </pt>
                <pt idx="5">
                  <v>Management de projet</v>
                </pt>
                <pt idx="6">
                  <v>Management et gestion d'équipe</v>
                </pt>
                <pt idx="7">
                  <v>Organisation</v>
                </pt>
              </strCache>
            </strRef>
          </cat>
          <val>
            <numRef>
              <f>'Résultat test questionnaire'!$E$4:$E$11</f>
              <numCache>
                <formatCode>0%</formatCode>
                <ptCount val="8"/>
                <pt idx="0">
                  <v>0.2222222222222222</v>
                </pt>
                <pt idx="1">
                  <v>0</v>
                </pt>
                <pt idx="2">
                  <v>0</v>
                </pt>
                <pt idx="3">
                  <v>0</v>
                </pt>
                <pt idx="4">
                  <v>0</v>
                </pt>
                <pt idx="5">
                  <v>0</v>
                </pt>
                <pt idx="6">
                  <v>0</v>
                </pt>
                <pt idx="7">
                  <v>0</v>
                </pt>
              </numCache>
            </numRef>
          </val>
        </ser>
        <dLbls>
          <dLblPos val="outEnd"/>
          <showLegendKey val="0"/>
          <showVal val="1"/>
          <showCatName val="0"/>
          <showSerName val="0"/>
          <showPercent val="0"/>
          <showBubbleSize val="0"/>
        </dLbls>
        <gapWidth val="219"/>
        <overlap val="-27"/>
        <axId val="1816582496"/>
        <axId val="1816586656"/>
      </barChart>
      <catAx>
        <axId val="181658249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fr-FR"/>
          </a:p>
        </txPr>
        <crossAx val="1816586656"/>
        <crosses val="autoZero"/>
        <auto val="1"/>
        <lblAlgn val="ctr"/>
        <lblOffset val="100"/>
        <noMultiLvlLbl val="0"/>
      </catAx>
      <valAx>
        <axId val="181658665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fr-FR"/>
          </a:p>
        </txPr>
        <crossAx val="1816582496"/>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7</col>
      <colOff>220980</colOff>
      <row>2</row>
      <rowOff>60960</rowOff>
    </from>
    <to>
      <col>13</col>
      <colOff>571500</colOff>
      <row>21</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762000</colOff>
      <row>2</row>
      <rowOff>68580</rowOff>
    </from>
    <to>
      <col>19</col>
      <colOff>579120</colOff>
      <row>14</row>
      <rowOff>68580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intelligences-multiples.org/intelligences-multiples2/les-8-types-dintelligences/" TargetMode="External" Id="rId1"/><Relationship Type="http://schemas.openxmlformats.org/officeDocument/2006/relationships/hyperlink" Target="https://moodwork.com/blog/well-being/liste-des-soft-skills/" TargetMode="External" Id="rId2"/><Relationship Type="http://schemas.openxmlformats.org/officeDocument/2006/relationships/hyperlink" Target="https://www.windtopik.fr/profil-mbti-affecter-vos-choix-metiers/" TargetMode="External" Id="rId3"/><Relationship Type="http://schemas.openxmlformats.org/officeDocument/2006/relationships/hyperlink" Target="https://www.intelligences-multiples.org/intelligences-multiples2/les-8-types-dintelligences/" TargetMode="External" Id="rId4"/></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L4"/>
  <sheetViews>
    <sheetView zoomScale="70" zoomScaleNormal="70" workbookViewId="0">
      <pane xSplit="2" ySplit="1" topLeftCell="C2" activePane="bottomRight" state="frozen"/>
      <selection pane="topRight" activeCell="C1" sqref="C1"/>
      <selection pane="bottomLeft" activeCell="A3" sqref="A3"/>
      <selection pane="bottomRight" activeCell="C2" sqref="C2"/>
    </sheetView>
  </sheetViews>
  <sheetFormatPr baseColWidth="10" defaultRowHeight="75" customHeight="1"/>
  <cols>
    <col width="8.33203125" customWidth="1" min="1" max="1"/>
    <col width="15.109375" bestFit="1" customWidth="1" min="2" max="2"/>
    <col width="16.5546875" bestFit="1" customWidth="1" style="9" min="3" max="3"/>
    <col width="22.6640625" bestFit="1" customWidth="1" min="4" max="4"/>
    <col width="21.6640625" bestFit="1" customWidth="1" min="5" max="5"/>
    <col width="24.88671875" customWidth="1" min="6" max="6"/>
    <col width="20.6640625" customWidth="1" min="7" max="10"/>
  </cols>
  <sheetData>
    <row r="1" ht="75" customHeight="1">
      <c r="K1" t="inlineStr">
        <is>
          <t>il faut donner la possibilliter de prioriser ou numéroter les réponses</t>
        </is>
      </c>
      <c r="L1" s="4" t="inlineStr">
        <is>
          <t>https://www.intelligences-multiples.org/intelligences-multiples2/les-8-types-dintelligences/</t>
        </is>
      </c>
    </row>
    <row r="2" ht="75" customHeight="1">
      <c r="B2" t="inlineStr">
        <is>
          <t>Soft skills</t>
        </is>
      </c>
      <c r="C2" s="3" t="inlineStr">
        <is>
          <t>https://moodwork.com/blog/well-being/liste-des-soft-skills/</t>
        </is>
      </c>
    </row>
    <row r="3" ht="75" customHeight="1">
      <c r="B3" t="inlineStr">
        <is>
          <t>MBTI</t>
        </is>
      </c>
      <c r="C3" s="3" t="inlineStr">
        <is>
          <t>https://www.windtopik.fr/profil-mbti-affecter-vos-choix-metiers/#Quels_sont_les_types_de_MBTI</t>
        </is>
      </c>
    </row>
    <row r="4" ht="75" customHeight="1">
      <c r="B4" t="inlineStr">
        <is>
          <t>Intélligence multiples</t>
        </is>
      </c>
      <c r="C4" s="3" t="inlineStr">
        <is>
          <t>https://www.intelligences-multiples.org/intelligences-multiples2/les-8-types-dintelligences/</t>
        </is>
      </c>
    </row>
  </sheetData>
  <hyperlinks>
    <hyperlink xmlns:r="http://schemas.openxmlformats.org/officeDocument/2006/relationships" ref="L1" r:id="rId1"/>
    <hyperlink xmlns:r="http://schemas.openxmlformats.org/officeDocument/2006/relationships" ref="C2" r:id="rId2"/>
    <hyperlink xmlns:r="http://schemas.openxmlformats.org/officeDocument/2006/relationships" ref="C3" location="Quels_sont_les_types_de_MBTI" r:id="rId3"/>
    <hyperlink xmlns:r="http://schemas.openxmlformats.org/officeDocument/2006/relationships" ref="C4" r:id="rId4"/>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W51"/>
  <sheetViews>
    <sheetView tabSelected="1" zoomScale="60" zoomScaleNormal="60" workbookViewId="0">
      <pane xSplit="3" ySplit="2" topLeftCell="F3" activePane="bottomRight" state="frozen"/>
      <selection pane="topRight" activeCell="C1" sqref="C1"/>
      <selection pane="bottomLeft" activeCell="A3" sqref="A3"/>
      <selection pane="bottomRight" activeCell="L3" sqref="L3"/>
    </sheetView>
  </sheetViews>
  <sheetFormatPr baseColWidth="10" defaultRowHeight="14.4"/>
  <cols>
    <col width="11.5546875" customWidth="1" style="22" min="1" max="1"/>
    <col width="15.21875" customWidth="1" style="12" min="2" max="2"/>
    <col width="14.5546875" customWidth="1" min="3" max="3"/>
    <col width="15.33203125" customWidth="1" min="4" max="4"/>
    <col width="18.6640625" customWidth="1" min="5" max="5"/>
    <col width="22.77734375" customWidth="1" min="6" max="6"/>
    <col width="28" customWidth="1" min="7" max="7"/>
    <col width="23.109375" customWidth="1" min="8" max="8"/>
    <col width="21.44140625" customWidth="1" min="9" max="9"/>
    <col width="21.88671875" customWidth="1" min="10" max="10"/>
    <col width="22.88671875" customWidth="1" min="11" max="11"/>
    <col width="13.109375" customWidth="1" style="14" min="12" max="12"/>
    <col width="59" customWidth="1" style="9" min="13" max="13"/>
    <col width="13.109375" customWidth="1" style="16" min="14" max="14"/>
    <col width="11.5546875" customWidth="1" style="22" min="15" max="15"/>
    <col width="14" customWidth="1" style="22" min="16" max="17"/>
    <col width="11.5546875" customWidth="1" min="18" max="21"/>
    <col width="12" customWidth="1" min="23" max="23"/>
  </cols>
  <sheetData>
    <row r="1" ht="58.2" customHeight="1" thickBot="1">
      <c r="A1" t="inlineStr">
        <is>
          <t>Questionnaire Soft Skills &amp; MBTI — Version Lycée / Adulte (48 questions)</t>
        </is>
      </c>
      <c r="L1" s="34" t="inlineStr">
        <is>
          <t>Sélectionnez A,B,C ou D grâce à la liste déroulante.</t>
        </is>
      </c>
    </row>
    <row r="2" ht="28.8" customHeight="1">
      <c r="A2" s="47" t="inlineStr">
        <is>
          <t xml:space="preserve">Question </t>
        </is>
      </c>
      <c r="B2" s="2" t="inlineStr">
        <is>
          <t>Remarque</t>
        </is>
      </c>
      <c r="C2" s="2" t="inlineStr">
        <is>
          <t>Soft skill</t>
        </is>
      </c>
      <c r="D2" s="20" t="inlineStr">
        <is>
          <t>Catégorie</t>
        </is>
      </c>
      <c r="E2" s="20" t="inlineStr">
        <is>
          <t>Classe MBTI</t>
        </is>
      </c>
      <c r="F2" s="35" t="inlineStr">
        <is>
          <t>Explication</t>
        </is>
      </c>
      <c r="G2" s="39" t="inlineStr">
        <is>
          <t>Question</t>
        </is>
      </c>
      <c r="H2" s="40" t="inlineStr">
        <is>
          <t xml:space="preserve">A </t>
        </is>
      </c>
      <c r="I2" s="40" t="inlineStr">
        <is>
          <t>B</t>
        </is>
      </c>
      <c r="J2" s="40" t="inlineStr">
        <is>
          <t>C</t>
        </is>
      </c>
      <c r="K2" s="40" t="inlineStr">
        <is>
          <t>D</t>
        </is>
      </c>
      <c r="L2" s="41" t="inlineStr">
        <is>
          <t>Votre choix</t>
        </is>
      </c>
      <c r="M2" s="37" t="inlineStr">
        <is>
          <t>Explication réponse</t>
        </is>
      </c>
      <c r="N2" s="13" t="inlineStr">
        <is>
          <t>Point soft skill</t>
        </is>
      </c>
      <c r="O2" s="13" t="inlineStr">
        <is>
          <t>Sélection soft skills</t>
        </is>
      </c>
      <c r="P2" s="13" t="inlineStr">
        <is>
          <t>Soft skill à développer ?</t>
        </is>
      </c>
      <c r="Q2" s="23" t="inlineStr">
        <is>
          <t>remarque affirmation</t>
        </is>
      </c>
      <c r="R2" s="23" t="inlineStr">
        <is>
          <t xml:space="preserve">A </t>
        </is>
      </c>
      <c r="S2" s="23" t="inlineStr">
        <is>
          <t>B</t>
        </is>
      </c>
      <c r="T2" s="23" t="inlineStr">
        <is>
          <t>C</t>
        </is>
      </c>
      <c r="U2" s="23" t="inlineStr">
        <is>
          <t>D</t>
        </is>
      </c>
      <c r="W2" s="52" t="inlineStr">
        <is>
          <t>Lettre MBTI
(calculée)</t>
        </is>
      </c>
    </row>
    <row r="3" ht="158.4" customHeight="1">
      <c r="A3" s="22">
        <f t="array" ref="A3:A74">_xlfn.SEQUENCE(COUNTA(C3:C100))</f>
        <v/>
      </c>
      <c r="B3" s="17" t="n"/>
      <c r="C3" s="1" t="inlineStr">
        <is>
          <t>Communication écrite</t>
        </is>
      </c>
      <c r="D3" s="1" t="inlineStr">
        <is>
          <t>Communication</t>
        </is>
      </c>
      <c r="E3" s="1" t="inlineStr">
        <is>
          <t>Energie (E-extraverti ou I-Introverti)</t>
        </is>
      </c>
      <c r="F3" s="36" t="inlineStr">
        <is>
          <t>Capacité à être facilement lu et compris mais aussi de susciter l'intérêt lorsque l'on transmet un message par écrit.</t>
        </is>
      </c>
      <c r="G3" s="42" t="inlineStr">
        <is>
          <t>Lorsque vous rédigez une note ou un écrit à destination d'autres individus :</t>
        </is>
      </c>
      <c r="H3" s="1" t="inlineStr">
        <is>
          <t>Vous ne recevez jamais de retour négatif car vous êtes un expert de la communication écrite.</t>
        </is>
      </c>
      <c r="I3" s="1" t="inlineStr">
        <is>
          <t>Vous recevez rarement des retours d'incompréhension.</t>
        </is>
      </c>
      <c r="J3" s="1" t="inlineStr">
        <is>
          <t>On comprend mais certains vous signalent qu'il y a beaucoup de fautes de français.</t>
        </is>
      </c>
      <c r="K3" s="1" t="inlineStr">
        <is>
          <t>Vous recevez plusieurs messages vous demandant d'être plus explicite parce qu'on ne comprend rien du tout.</t>
        </is>
      </c>
      <c r="L3" s="46" t="inlineStr">
        <is>
          <t>A</t>
        </is>
      </c>
      <c r="M3" s="38">
        <f>_xlfn.XLOOKUP(L3,'Questionnaire '!$R$2:$U$2,'Questionnaire '!R3:U3,,1)</f>
        <v/>
      </c>
      <c r="N3" s="15">
        <f>IF(L3="A",2,IF(L3="B",1,0))</f>
        <v/>
      </c>
      <c r="O3" s="6" t="inlineStr">
        <is>
          <t>Soft skills</t>
        </is>
      </c>
      <c r="P3" s="48">
        <f>IF(N3&gt;=1,"","À développer")</f>
        <v/>
      </c>
      <c r="Q3" s="48" t="n"/>
      <c r="R3" s="24" t="inlineStr">
        <is>
          <t>Vous êtes particulièrement doué à l'écrit.</t>
        </is>
      </c>
      <c r="S3" s="24" t="inlineStr">
        <is>
          <t>Vous savez aussi vous exprimer à l'écrit. En général, les gens comprennent facilement vos propos quand ils vous lisent.</t>
        </is>
      </c>
      <c r="T3" s="24" t="inlineStr">
        <is>
          <t>Vous faites beaucoup de faute de français à l'écrit.</t>
        </is>
      </c>
      <c r="U3" s="24" t="inlineStr">
        <is>
          <t>Vous avez certaines difficultés à structurer vos phrases à l'écrit. Vous pouvez faire des fautes de français.</t>
        </is>
      </c>
    </row>
    <row r="4" ht="201.6" customHeight="1">
      <c r="A4" s="22" t="n">
        <v>1</v>
      </c>
      <c r="B4" s="1" t="n"/>
      <c r="C4" s="1" t="inlineStr">
        <is>
          <t>L’audace (ou le culot)</t>
        </is>
      </c>
      <c r="D4" s="1" t="inlineStr">
        <is>
          <t>Communication</t>
        </is>
      </c>
      <c r="E4" s="1" t="inlineStr">
        <is>
          <t>Mode d'action ou style de vie (J-Organisation ou P-perception)</t>
        </is>
      </c>
      <c r="F4" s="36" t="inlineStr">
        <is>
          <t>Capacité à mettre en place ou réaliser des actions qui semblent risquées, difficiles et/ou irréalisables.</t>
        </is>
      </c>
      <c r="G4" s="42" t="inlineStr">
        <is>
          <t>Lors d'une réunion professionnelle, on vous propose soudainement de présenter vos idées sur un projet complexe devant plusieurs supérieurs. Vous n'avez pas préparé de présentation formelle. Comment réagissez-vous ?</t>
        </is>
      </c>
      <c r="H4" s="1" t="inlineStr">
        <is>
          <t>J'accepte l'opportunité spontanément, en me fiant à ma connaissance du sujet pour guider ma présentation.</t>
        </is>
      </c>
      <c r="I4" s="1" t="inlineStr">
        <is>
          <t>Bien que surpris, je saisis l'occasion de partager mes idées, en improvisant une présentation concise basée sur mes connaissances actuelles.</t>
        </is>
      </c>
      <c r="J4" s="1" t="inlineStr">
        <is>
          <t>Je m'excuse en expliquant que je ne suis pas prêt à présenter et je suggère de reporter à un moment où je pourrais mieux me préparer.</t>
        </is>
      </c>
      <c r="K4" s="1" t="inlineStr">
        <is>
          <t>La situation me met mal à l'aise, donc je décline poliment, préférant ne pas prendre le risque de me présenter sans préparation.</t>
        </is>
      </c>
      <c r="L4" s="46" t="inlineStr">
        <is>
          <t>C</t>
        </is>
      </c>
      <c r="M4" s="38">
        <f>_xlfn.XLOOKUP(L4,'Questionnaire '!$R$2:$U$2,'Questionnaire '!$R4:$U4)</f>
        <v/>
      </c>
      <c r="N4" s="15">
        <f>IF(L4="A",2,IF(L4="B",1,0))</f>
        <v/>
      </c>
      <c r="O4" s="1" t="inlineStr">
        <is>
          <t>Soft skills</t>
        </is>
      </c>
      <c r="P4" s="48">
        <f>IF(N4&gt;=1,"","À développer")</f>
        <v/>
      </c>
      <c r="Q4" s="48" t="n"/>
      <c r="R4" s="24" t="inlineStr">
        <is>
          <t>Vous avez de l'audace et êtes relativement spontané.</t>
        </is>
      </c>
      <c r="S4" s="24" t="inlineStr">
        <is>
          <t>Vous avez de l'audace et êtes relativement spontané.</t>
        </is>
      </c>
      <c r="T4" s="24" t="inlineStr">
        <is>
          <t>Vous êtes quelqu'un de timide et réservé.</t>
        </is>
      </c>
      <c r="U4" s="24" t="inlineStr">
        <is>
          <t>Cependant vous avez peu d'audace ou de culot quand il s'agit de s'adresser aux personnes qui vous semblent impressionnantes.</t>
        </is>
      </c>
      <c r="V4" s="26" t="n"/>
      <c r="W4" s="53">
        <f>IF(N4&gt;0,"N","S")</f>
        <v/>
      </c>
    </row>
    <row r="5" ht="100.8" customHeight="1">
      <c r="A5" s="22" t="n">
        <v>2</v>
      </c>
      <c r="B5" s="17" t="n"/>
      <c r="C5" s="1" t="inlineStr">
        <is>
          <t>La clarté de communication</t>
        </is>
      </c>
      <c r="D5" s="1" t="inlineStr">
        <is>
          <t>Communication</t>
        </is>
      </c>
      <c r="E5" s="1" t="inlineStr">
        <is>
          <t>Energie (E-extraverti ou I-Introverti)</t>
        </is>
      </c>
      <c r="F5" s="36" t="inlineStr">
        <is>
          <t>Capacité à exprimer clairement ses idées lorsque l’on s’adresse à un ou plusieurs individus.</t>
        </is>
      </c>
      <c r="G5" s="42" t="inlineStr">
        <is>
          <t>Lorsque vous parlez, devez-vous répéter régulièrement vos phrases pour être parfaitement compris ?</t>
        </is>
      </c>
      <c r="H5" s="1" t="inlineStr">
        <is>
          <t>Non, ça ne m'arrive jamais.</t>
        </is>
      </c>
      <c r="I5" s="1" t="inlineStr">
        <is>
          <t>Rarement, une fois comme ça.</t>
        </is>
      </c>
      <c r="J5" s="1" t="inlineStr">
        <is>
          <t>Ça m'arrive régulièrement.</t>
        </is>
      </c>
      <c r="K5" s="1" t="inlineStr">
        <is>
          <t>Ça m'arrive tout le temps, je dois souvent reprendre depuis le début.</t>
        </is>
      </c>
      <c r="L5" s="46" t="n"/>
      <c r="M5" s="38">
        <f>_xlfn.XLOOKUP(L5,'Questionnaire '!$R$2:$U$2,'Questionnaire '!$R5:$U5)</f>
        <v/>
      </c>
      <c r="N5" s="15">
        <f>IF(L5="A",2,IF(L5="B",1,0))</f>
        <v/>
      </c>
      <c r="O5" s="6" t="inlineStr">
        <is>
          <t>Soft skills</t>
        </is>
      </c>
      <c r="P5" s="48">
        <f>IF(N5&gt;=1,"","À développer")</f>
        <v/>
      </c>
      <c r="Q5" s="48" t="n"/>
      <c r="R5" s="24" t="inlineStr">
        <is>
          <t>Vous savez vous exprimer extrêmement bien.</t>
        </is>
      </c>
      <c r="S5" s="24" t="inlineStr">
        <is>
          <t>Vous êtes clair quand vous vous exprimez à l'oral, ceux qui vous écoutent comprennent facilement vos propos.</t>
        </is>
      </c>
      <c r="T5" s="24" t="inlineStr">
        <is>
          <t xml:space="preserve">Vous avez du mal à vous exprimer correctement. </t>
        </is>
      </c>
      <c r="U5" s="24" t="inlineStr">
        <is>
          <t>Vous avez des problèmes d'élocution. Vous avez du mal à structurer des phrases claires et précises.</t>
        </is>
      </c>
      <c r="W5" s="53">
        <f>IF(N5&gt;0,"E","I")</f>
        <v/>
      </c>
    </row>
    <row r="6" ht="144" customHeight="1">
      <c r="A6" s="22" t="n">
        <v>3</v>
      </c>
      <c r="B6" s="17" t="n"/>
      <c r="C6" s="1" t="inlineStr">
        <is>
          <t>La diplomatie</t>
        </is>
      </c>
      <c r="D6" s="1" t="inlineStr">
        <is>
          <t>Communication</t>
        </is>
      </c>
      <c r="E6" s="1" t="inlineStr">
        <is>
          <t>Prise de décision (T-pensée ou F-sentiment)</t>
        </is>
      </c>
      <c r="F6" s="36" t="inlineStr">
        <is>
          <t>Qualité qui permet d'apprécier intuitivement ce qu'il convient de dire, de faire ou d'éviter dans les relations humaines.</t>
        </is>
      </c>
      <c r="G6" s="42" t="inlineStr">
        <is>
          <t>Lorsqu'on vous demande de donner votre avis sur un sujet sensible, vous avez tendance à :</t>
        </is>
      </c>
      <c r="H6" s="1" t="inlineStr">
        <is>
          <t>Donner votre opinion sans mentir, même si votre avis peut blesser.</t>
        </is>
      </c>
      <c r="I6" s="1" t="inlineStr">
        <is>
          <t>Expliquer quels sont les faits, sans chercher à transformer la réalité.</t>
        </is>
      </c>
      <c r="J6" s="1" t="inlineStr">
        <is>
          <t>Mesurer votre franchise afin de ne pas créer de malaise.</t>
        </is>
      </c>
      <c r="K6" s="1" t="inlineStr">
        <is>
          <t>Bien choisir vos mots afin de ne blesser personne.</t>
        </is>
      </c>
      <c r="L6" s="46" t="n"/>
      <c r="M6" s="38">
        <f>_xlfn.XLOOKUP(L6,'Questionnaire '!$R$2:$U$2,'Questionnaire '!$R6:$U6)</f>
        <v/>
      </c>
      <c r="N6" s="15">
        <f>IF(L6="C",2,IF(L6="D",1,0))</f>
        <v/>
      </c>
      <c r="O6" s="6" t="inlineStr">
        <is>
          <t>Soft skills</t>
        </is>
      </c>
      <c r="P6" s="48">
        <f>IF(N6&gt;=1,"","À développer")</f>
        <v/>
      </c>
      <c r="Q6" s="48" t="n"/>
      <c r="R6" s="24" t="inlineStr">
        <is>
          <t>Vous pouvez parfois manquer de diplomatie et de tact quand vous vous adressez aux gens.</t>
        </is>
      </c>
      <c r="S6" s="24" t="inlineStr">
        <is>
          <t>Vous aimez relater les faits de façon claire et précise, vous n'aimez pas les discours fallacieux.</t>
        </is>
      </c>
      <c r="T6" s="24" t="inlineStr">
        <is>
          <t>Vous avez tendance à éviter de blesser les gens lorsque vous débattez.</t>
        </is>
      </c>
      <c r="U6" s="24" t="inlineStr">
        <is>
          <t>Vous êtes extrêmement diplomate dans vos propos, vous cherchez toujours les termes et tournures de phrases les moins choquantes.</t>
        </is>
      </c>
      <c r="W6" s="53">
        <f>IF(N6&gt;0,"F","T")</f>
        <v/>
      </c>
    </row>
    <row r="7" ht="172.8" customHeight="1">
      <c r="A7" s="22" t="n">
        <v>4</v>
      </c>
      <c r="B7" s="1" t="n"/>
      <c r="C7" s="1" t="inlineStr">
        <is>
          <t>La négociation</t>
        </is>
      </c>
      <c r="D7" s="1" t="inlineStr">
        <is>
          <t>Communication</t>
        </is>
      </c>
      <c r="E7" s="1" t="inlineStr">
        <is>
          <t>Energie (E-extraverti ou I-Introverti)</t>
        </is>
      </c>
      <c r="F7" s="36" t="inlineStr">
        <is>
          <t>Capacité à trouver un accord avec un ou plusieurs partis.</t>
        </is>
      </c>
      <c r="G7" s="42" t="inlineStr">
        <is>
          <t>Vous trouvez un objet que vous souhaitiez acheter depuis longtemps, simplement le prix est trop élevé par rapport à votre budget.</t>
        </is>
      </c>
      <c r="H7" s="1" t="inlineStr">
        <is>
          <t>Vous contactez le vendeur pour trouver un accord gagnant-gagnant qui satisfait les deux parties.</t>
        </is>
      </c>
      <c r="I7" s="1" t="inlineStr">
        <is>
          <t>Vous argumentez sur la valeur réelle de l'objet et ses éventuels défauts pour obtenir un prix plus juste.</t>
        </is>
      </c>
      <c r="J7" s="1" t="inlineStr">
        <is>
          <t>Vous allez voir chez un concurrent pour trouver moins cher sans entrer dans une négociation.</t>
        </is>
      </c>
      <c r="K7" s="1" t="inlineStr">
        <is>
          <t>Vous préférez attendre d'avoir plus d'argent ou que le prix baisse de lui-même.</t>
        </is>
      </c>
      <c r="L7" s="46" t="n"/>
      <c r="M7" s="38">
        <f>_xlfn.XLOOKUP(L7,'Questionnaire '!$R$2:$U$2,'Questionnaire '!$R7:$U7)</f>
        <v/>
      </c>
      <c r="N7" s="15">
        <f>IF(L7="A",2,IF(L7="B",1,0))</f>
        <v/>
      </c>
      <c r="O7" s="6" t="inlineStr">
        <is>
          <t>Soft skills</t>
        </is>
      </c>
      <c r="P7" s="48">
        <f>IF(N7&gt;=1,"","À développer")</f>
        <v/>
      </c>
      <c r="Q7" s="48" t="n"/>
      <c r="R7" s="24" t="inlineStr">
        <is>
          <t>Vous maîtrisez l'art de la négociation. Vous savez construire des accords profitables pour toutes les parties.</t>
        </is>
      </c>
      <c r="S7" s="24" t="inlineStr">
        <is>
          <t>Vous savez négocier en vous appuyant sur des arguments concrets pour obtenir un meilleur prix.</t>
        </is>
      </c>
      <c r="T7" s="24" t="inlineStr">
        <is>
          <t>Vous évitez la négociation directe et préférez chercher une alternative.</t>
        </is>
      </c>
      <c r="U7" s="24" t="inlineStr">
        <is>
          <t>Vous n'aimez pas négocier et préférez attendre que la situation évolue d'elle-même.</t>
        </is>
      </c>
      <c r="W7" s="53">
        <f>IF(N7&gt;0,"E","I")</f>
        <v/>
      </c>
    </row>
    <row r="8" ht="144" customHeight="1">
      <c r="A8" s="22" t="n">
        <v>5</v>
      </c>
      <c r="B8" s="17" t="n"/>
      <c r="C8" s="1" t="inlineStr">
        <is>
          <t>Prise de parole en public</t>
        </is>
      </c>
      <c r="D8" s="1" t="inlineStr">
        <is>
          <t>Communication</t>
        </is>
      </c>
      <c r="E8" s="1" t="inlineStr">
        <is>
          <t>Energie (E-extraverti ou I-Introverti)</t>
        </is>
      </c>
      <c r="F8" s="36" t="inlineStr">
        <is>
          <t>Capacité à s'exprimer devant une foule, ou lors d'événements.</t>
        </is>
      </c>
      <c r="G8" s="42" t="inlineStr">
        <is>
          <t>Lorsqu'on vous demande de vous présenter devant une foule de personnes, votre première pensée est :</t>
        </is>
      </c>
      <c r="H8" s="1" t="inlineStr">
        <is>
          <t>Super vous allez faire le show, vous êtes pressé d'être sur la scène.</t>
        </is>
      </c>
      <c r="I8" s="1" t="inlineStr">
        <is>
          <t>Ça ne me dérange pas, je vais le faire.</t>
        </is>
      </c>
      <c r="J8" s="1" t="inlineStr">
        <is>
          <t>Je n’aime pas trop ça, mais je vais quand même essayer.</t>
        </is>
      </c>
      <c r="K8" s="1" t="inlineStr">
        <is>
          <t>Ce n'est pas du tout mon truc. Je vais paniquer et perdre mes moyens.</t>
        </is>
      </c>
      <c r="L8" s="46" t="n"/>
      <c r="M8" s="38">
        <f>_xlfn.XLOOKUP(L8,'Questionnaire '!$R$2:$U$2,'Questionnaire '!$R8:$U8)</f>
        <v/>
      </c>
      <c r="N8" s="15">
        <f>IF(L8="A",2,IF(L8="B",1,0))</f>
        <v/>
      </c>
      <c r="O8" s="1" t="inlineStr">
        <is>
          <t>Soft skills</t>
        </is>
      </c>
      <c r="P8" s="48">
        <f>IF(N8&gt;=1,"","À développer")</f>
        <v/>
      </c>
      <c r="Q8" s="48" t="n"/>
      <c r="R8" s="24" t="inlineStr">
        <is>
          <t>Vous aimez être le centre de l'attention et vous exprimer en public.</t>
        </is>
      </c>
      <c r="S8" s="24" t="inlineStr">
        <is>
          <t>Vous n'avez aucun problème à vous exprimer devant une foule. Vous n'êtes pas timide.</t>
        </is>
      </c>
      <c r="T8" s="24" t="inlineStr">
        <is>
          <t>Vous avez aussi tendance à éviter les prises de paroles en public. Ce n'est pas votre truc.</t>
        </is>
      </c>
      <c r="U8" s="24" t="inlineStr">
        <is>
          <t xml:space="preserve"> Parler devant une foule vous met mal à l'aise et peut vous stresser.</t>
        </is>
      </c>
      <c r="W8" s="53">
        <f>IF(N8&gt;0,"E","I")</f>
        <v/>
      </c>
    </row>
    <row r="9" ht="172.8" customHeight="1">
      <c r="A9" s="22" t="n">
        <v>6</v>
      </c>
      <c r="B9" s="17" t="n"/>
      <c r="C9" s="1" t="inlineStr">
        <is>
          <t>Rhétorique ou storytelling</t>
        </is>
      </c>
      <c r="D9" s="1" t="inlineStr">
        <is>
          <t>Communication</t>
        </is>
      </c>
      <c r="E9" s="1" t="inlineStr">
        <is>
          <t>Energie (E-extraverti ou I-Introverti)</t>
        </is>
      </c>
      <c r="F9" s="36" t="inlineStr">
        <is>
          <t>L’art de savoir raconter ou narrer une histoire.</t>
        </is>
      </c>
      <c r="G9" s="42" t="inlineStr">
        <is>
          <t>Lorsque vous racontez une histoire, un évènement ou le résumé d'un film :</t>
        </is>
      </c>
      <c r="H9" s="1" t="inlineStr">
        <is>
          <t>Les personnes qui écoutent sont captivées et ont envie d'en savoir plus.</t>
        </is>
      </c>
      <c r="I9" s="1" t="inlineStr">
        <is>
          <t>Les auditeurs sont attentifs.</t>
        </is>
      </c>
      <c r="J9" s="1" t="inlineStr">
        <is>
          <t>Les auditeurs comprennent l’histoire mais ont l'air de s'ennuyer.</t>
        </is>
      </c>
      <c r="K9" s="1" t="inlineStr">
        <is>
          <t>Les personnes qui écoutent froncent les sourcils, comme si vous parliez un langage extraterrestre.</t>
        </is>
      </c>
      <c r="L9" s="46" t="n"/>
      <c r="M9" s="38">
        <f>_xlfn.XLOOKUP(L9,'Questionnaire '!$R$2:$U$2,'Questionnaire '!$R9:$U9)</f>
        <v/>
      </c>
      <c r="N9" s="15">
        <f>IF(L9="A",2,IF(L9="B",1,0))</f>
        <v/>
      </c>
      <c r="O9" s="6" t="inlineStr">
        <is>
          <t>Soft skills</t>
        </is>
      </c>
      <c r="P9" s="48">
        <f>IF(N9&gt;=1,"","À développer")</f>
        <v/>
      </c>
      <c r="Q9" s="48" t="n"/>
      <c r="R9" s="24" t="inlineStr">
        <is>
          <t>Vous avez un sens de l'art oratoire développé.</t>
        </is>
      </c>
      <c r="S9" s="27" t="inlineStr">
        <is>
          <t>Vous savez raconter les histoires et les anecdotes. En général, les gens vous écoutent attentivement.</t>
        </is>
      </c>
      <c r="T9" s="24" t="inlineStr">
        <is>
          <t xml:space="preserve">Vous avez du mal à capter l'attention des autres quand vous vous exprimez. </t>
        </is>
      </c>
      <c r="U9" s="24" t="inlineStr">
        <is>
          <t>Vous avez de vraies difficultés à structurer vos pensées et votre discours lorsque vous évoquez un évènement ou des anecdotes.</t>
        </is>
      </c>
      <c r="W9" s="53">
        <f>IF(N9&gt;0,"E","I")</f>
        <v/>
      </c>
    </row>
    <row r="10" ht="129.6" customHeight="1">
      <c r="A10" s="22" t="n">
        <v>7</v>
      </c>
      <c r="B10" s="17" t="n"/>
      <c r="C10" s="1" t="inlineStr">
        <is>
          <t>Actualisation des connaissances</t>
        </is>
      </c>
      <c r="D10" s="1" t="inlineStr">
        <is>
          <t>Esprit critique</t>
        </is>
      </c>
      <c r="E10" s="1" t="inlineStr">
        <is>
          <t>Recueil d'information ou perception (S-sensation ou N-intuition)</t>
        </is>
      </c>
      <c r="F10" s="36" t="inlineStr">
        <is>
          <t>Capacité à renouveler les connaissances et les compétences acquises.</t>
        </is>
      </c>
      <c r="G10" s="42" t="inlineStr">
        <is>
          <t>Lors d'une conversation avec des collègues, un nouveau logiciel révolutionnaire dans votre secteur est mentionné, mais vous ne le connaissez pas. Que faites-vous ensuite ?</t>
        </is>
      </c>
      <c r="H10" s="10" t="inlineStr">
        <is>
          <t>Lire les articles et les ouvrages les plus récents sur le sujet et allez aux conférences sur le sujet.</t>
        </is>
      </c>
      <c r="I10" s="10" t="inlineStr">
        <is>
          <t>je pose des questions à mes collègues pour en savoir plus, et j'envisage de m'informer davantage par la suite.</t>
        </is>
      </c>
      <c r="J10" s="10" t="inlineStr">
        <is>
          <t>Je ne m'en préoccupe pas vraiment,  si c'est important, quelqu'un m'en parlera plus en détail.</t>
        </is>
      </c>
      <c r="K10" s="10" t="inlineStr">
        <is>
          <t>Je ne suis pas sûr(e) de vouloir investir du temps pour comprendre ce logiciel, s'il ne m'apporte rien immédiatement.</t>
        </is>
      </c>
      <c r="L10" s="46" t="n"/>
      <c r="M10" s="38">
        <f>_xlfn.XLOOKUP(L10,'Questionnaire '!$R$2:$U$2,'Questionnaire '!$R10:$U10)</f>
        <v/>
      </c>
      <c r="N10" s="15">
        <f>IF(L10="A",2,IF(L10="B",1,0))</f>
        <v/>
      </c>
      <c r="O10" s="1" t="inlineStr">
        <is>
          <t>Soft skills</t>
        </is>
      </c>
      <c r="P10" s="48">
        <f>IF(N10&gt;=1,"","À développer")</f>
        <v/>
      </c>
      <c r="Q10" s="48" t="n"/>
      <c r="R10" s="25" t="inlineStr">
        <is>
          <t>Vous aimez vous documenter, et cela, même sur un sujet où vous avez déjà une certaine expertise.</t>
        </is>
      </c>
      <c r="S10" s="24" t="inlineStr">
        <is>
          <t>Vous aimez vous documenter, et cela, même sur un sujet où vous avez déjà une certaine expertise.</t>
        </is>
      </c>
      <c r="T10" s="24" t="inlineStr">
        <is>
          <t>Vous n'êtes pas du type à systématiquement actualiser vos connaissances lorsque vous parlez d'un sujet. Vous préférez utiliser votre expérience et vos souvenirs.</t>
        </is>
      </c>
      <c r="U10" s="24" t="inlineStr">
        <is>
          <t>Vous n'êtes pas du type à systématiquement actualiser vos connaissances lorsque vous parlez d'un sujet. Vous préférez utiliser votre expérience et vos souvenirs.</t>
        </is>
      </c>
      <c r="W10" s="53">
        <f>IF(N10&gt;0,"N","S")</f>
        <v/>
      </c>
    </row>
    <row r="11" ht="172.8" customHeight="1">
      <c r="A11" s="22" t="n">
        <v>8</v>
      </c>
      <c r="B11" s="17" t="n"/>
      <c r="C11" s="1" t="inlineStr">
        <is>
          <t>L’acuité et le discernement</t>
        </is>
      </c>
      <c r="D11" s="1" t="inlineStr">
        <is>
          <t>Esprit critique</t>
        </is>
      </c>
      <c r="E11" s="1" t="inlineStr">
        <is>
          <t>Recueil d'information ou perception (S-sensation ou N-intuition)</t>
        </is>
      </c>
      <c r="F11" s="36" t="inlineStr">
        <is>
          <t>Capacité de l'esprit à juger clairement et sainement des choses</t>
        </is>
      </c>
      <c r="G11" s="1" t="inlineStr">
        <is>
          <t>Un de vos amis de confiance partage une publication qui affirme que l'utilisation fréquente des téléphones mobiles peut causer de graves problèmes de santé. Quelle est votre réaction ?</t>
        </is>
      </c>
      <c r="H11" s="1" t="inlineStr">
        <is>
          <t>Vous vérifierez l'information en cherchant des sources vraisemblables et des études scientifiques sur le sujet.</t>
        </is>
      </c>
      <c r="I11" s="1" t="inlineStr">
        <is>
          <t>Vous lui demandez où il a obtenu cette information.</t>
        </is>
      </c>
      <c r="J11" s="1" t="inlineStr">
        <is>
          <t>Vous partagez immédiatement l'information sur vos propres réseaux sociaux pour alerter vos amis et votre famille.</t>
        </is>
      </c>
      <c r="K11" s="1" t="inlineStr">
        <is>
          <t>Vous arrêtez d'utiliser votre téléphone mobile par peur des risques pour la santé.</t>
        </is>
      </c>
      <c r="L11" s="46" t="n"/>
      <c r="M11" s="38">
        <f>_xlfn.XLOOKUP(L11,'Questionnaire '!$R$2:$U$2,'Questionnaire '!$R11:$U11)</f>
        <v/>
      </c>
      <c r="N11" s="15">
        <f>IF(L11="A",2,IF(L11="B",1,0))</f>
        <v/>
      </c>
      <c r="O11" s="6" t="inlineStr">
        <is>
          <t>Soft skills</t>
        </is>
      </c>
      <c r="P11" s="48">
        <f>IF(N11&gt;=1,"","À développer")</f>
        <v/>
      </c>
      <c r="Q11" s="48" t="n"/>
      <c r="R11" s="24" t="inlineStr">
        <is>
          <t>Vous avez une faculté de discernement élevéee.</t>
        </is>
      </c>
      <c r="S11" s="24" t="inlineStr">
        <is>
          <t>Vous avez une faculté de discernement élevéee.</t>
        </is>
      </c>
      <c r="T11" s="24" t="inlineStr">
        <is>
          <t>Vous pouvez parfois manquer de discernement quand la situation l'impose.</t>
        </is>
      </c>
      <c r="U11" s="24" t="inlineStr">
        <is>
          <t>Vous pouvez parfois manquer de discernement quand la situation l'impose.</t>
        </is>
      </c>
      <c r="W11" s="53">
        <f>IF(N11&gt;0,"N","S")</f>
        <v/>
      </c>
    </row>
    <row r="12" ht="244.8" customHeight="1">
      <c r="A12" s="22" t="n">
        <v>9</v>
      </c>
      <c r="B12" s="1" t="n"/>
      <c r="C12" s="1" t="inlineStr">
        <is>
          <t>L’ouverture d'esprit</t>
        </is>
      </c>
      <c r="D12" s="1" t="inlineStr">
        <is>
          <t>Esprit critique</t>
        </is>
      </c>
      <c r="E12" s="1" t="inlineStr">
        <is>
          <t>Mode d'action ou style de vie (J-Organisation ou P-perception)</t>
        </is>
      </c>
      <c r="F12" s="36" t="inlineStr">
        <is>
          <t>Tolérer et manifester de l'intérêt, de la curiosité et de la compréhension pour les idées qui diffèrent en partie ou totalement des siennes.</t>
        </is>
      </c>
      <c r="G12" s="42" t="inlineStr">
        <is>
          <t>Une nouvelle personne intègre votre groupe de travail. Elle vous informe qu'une des méthodes que vous utilisez est totalement obsolète.</t>
        </is>
      </c>
      <c r="H12" s="1" t="inlineStr">
        <is>
          <t>Vous l'envoyez balader. Elle devrait écouter au lieu de critiquer dès son arrivée.</t>
        </is>
      </c>
      <c r="I12" s="1" t="inlineStr">
        <is>
          <t>Vous ne changez pas de méthode car elle a déjà fonctionné.</t>
        </is>
      </c>
      <c r="J12" s="1" t="inlineStr">
        <is>
          <t>Vous vous renseignez quand même sur les autres méthodes existantes.</t>
        </is>
      </c>
      <c r="K12" s="1" t="inlineStr">
        <is>
          <t>Par curiosité vous lui demandez quelle méthode serait la meilleure selon elle.</t>
        </is>
      </c>
      <c r="L12" s="46" t="n"/>
      <c r="M12" s="38">
        <f>_xlfn.XLOOKUP(L12,'Questionnaire '!$R$2:$U$2,'Questionnaire '!$R12:$U12)</f>
        <v/>
      </c>
      <c r="N12" s="15">
        <f>IF(L12="C",2,IF(L12="D",1,0))</f>
        <v/>
      </c>
      <c r="O12" s="6" t="inlineStr">
        <is>
          <t>Soft skills</t>
        </is>
      </c>
      <c r="P12" s="48">
        <f>IF(N12&gt;=1,"","À développer")</f>
        <v/>
      </c>
      <c r="Q12" s="48" t="n"/>
      <c r="R12" s="24" t="inlineStr">
        <is>
          <t>Votre ouverture d’esprit s’arrête au moment où vous vous sentez directement visé par les critiques.</t>
        </is>
      </c>
      <c r="S12" s="24" t="inlineStr">
        <is>
          <t>Vous pouvez souvent manquer d'ouverture si on remet en question vos capacités ou vos avis.</t>
        </is>
      </c>
      <c r="T12" s="24" t="inlineStr">
        <is>
          <t>Vous pouvez vous montrer ouvert d'esprit même quand une personne n'est pas d'accord avec vous sur un sujet qui vous concerne.</t>
        </is>
      </c>
      <c r="U12" s="24" t="inlineStr">
        <is>
          <t>Vous pouvez vous montrer ouvert d'esprit même quand une personne n'est pas d'accord avec vous sur certains sujets.</t>
        </is>
      </c>
      <c r="W12" s="53">
        <f>IF(N12&gt;0,"N","S")</f>
        <v/>
      </c>
    </row>
    <row r="13" ht="100.8" customHeight="1">
      <c r="A13" s="22" t="n">
        <v>10</v>
      </c>
      <c r="B13" s="17" t="n"/>
      <c r="C13" s="1" t="inlineStr">
        <is>
          <t>La créativité ou l'imagination</t>
        </is>
      </c>
      <c r="D13" s="1" t="inlineStr">
        <is>
          <t>Esprit critique</t>
        </is>
      </c>
      <c r="E13" s="1" t="inlineStr">
        <is>
          <t>Recueil d'information ou perception (S-sensation ou N-intuition)</t>
        </is>
      </c>
      <c r="F13" s="36" t="inlineStr">
        <is>
          <t>Faculté de former des images d'objets qui n'ont pas été perçus ou de créer de nouvelles combinaisons  d'images ou d'idées, de se représenter des situations possibles.</t>
        </is>
      </c>
      <c r="G13" s="42" t="inlineStr">
        <is>
          <t>On vous demande de créer une histoire :</t>
        </is>
      </c>
      <c r="H13" s="1" t="inlineStr">
        <is>
          <t>Vous n'arrivez pas à imaginer quoi que ce soit, et vous détestez cet exercice.</t>
        </is>
      </c>
      <c r="I13" s="1" t="inlineStr">
        <is>
          <t>Vous demandez de l'aide à une amie qui a plus d'imagination que vous.</t>
        </is>
      </c>
      <c r="J13" s="1" t="inlineStr">
        <is>
          <t>Vous arrivez immédiatement à imaginer une trame et quelques personnages.</t>
        </is>
      </c>
      <c r="K13" s="1" t="inlineStr">
        <is>
          <t>Vous arrivez tout de suite à imaginer les lieux, l'époque, les costumes, des personnages, les langues, les voix et accents des personnages.</t>
        </is>
      </c>
      <c r="L13" s="46" t="n"/>
      <c r="M13" s="38">
        <f>_xlfn.XLOOKUP(L13,'Questionnaire '!$R$2:$U$2,'Questionnaire '!$R13:$U13)</f>
        <v/>
      </c>
      <c r="N13" s="15">
        <f>IF(L13="C",2,IF(L13="D",1,0))</f>
        <v/>
      </c>
      <c r="O13" s="6" t="inlineStr">
        <is>
          <t>Soft skills</t>
        </is>
      </c>
      <c r="P13" s="48">
        <f>IF(N13&gt;=1,"","À développer")</f>
        <v/>
      </c>
      <c r="Q13" s="48" t="n"/>
      <c r="R13" s="24" t="inlineStr">
        <is>
          <t>Vous pouvez souvent manquer d’imagination ou de créativité.</t>
        </is>
      </c>
      <c r="S13" s="24" t="inlineStr">
        <is>
          <t>Vous pouvez souvent manquer d’imagination ou de créativité.</t>
        </is>
      </c>
      <c r="T13" s="24" t="inlineStr">
        <is>
          <t>Vous êtes quelqu'un de créatif.</t>
        </is>
      </c>
      <c r="U13" s="24" t="inlineStr">
        <is>
          <t>Vous êtes quelqu'un de créatif. Vous avez  beaucoup d'imagination.</t>
        </is>
      </c>
      <c r="W13" s="53">
        <f>IF(N13&gt;0,"N","S")</f>
        <v/>
      </c>
    </row>
    <row r="14" ht="187.2" customHeight="1">
      <c r="A14" s="22" t="n">
        <v>11</v>
      </c>
      <c r="B14" s="1" t="n"/>
      <c r="C14" s="1" t="inlineStr">
        <is>
          <t>Pensée critique</t>
        </is>
      </c>
      <c r="D14" s="1" t="inlineStr">
        <is>
          <t>Esprit critique</t>
        </is>
      </c>
      <c r="E14" s="1" t="inlineStr">
        <is>
          <t>Recueil d'information ou perception (S-sensation ou N-intuition)</t>
        </is>
      </c>
      <c r="F14" s="36" t="inlineStr">
        <is>
          <t>Disposition intellectuelle qui permet de raisonner correctement, de tirer des conclusions qui ne soient pas prématurées, mais réfléchies et étayées par des arguments.Capacité à questionner et remettre en cause des préjugés et des opinions "toutes faites".</t>
        </is>
      </c>
      <c r="G14" s="42" t="inlineStr">
        <is>
          <t>Vous devez partir en voyage dans un pays pour les vacances. Vous découvrez que le journal télévisé décrit ce pays comme dangereux.</t>
        </is>
      </c>
      <c r="H14" s="1" t="inlineStr">
        <is>
          <t>Je vais me renseigner auprès de personnes qui y sont déjà allées, afin d'avoir un avis précis de la situation.</t>
        </is>
      </c>
      <c r="I14" s="1" t="inlineStr">
        <is>
          <t>Avant d'acheter mon billet, je vais me renseigner auprès de l'ambassade du pays.</t>
        </is>
      </c>
      <c r="J14" s="1" t="inlineStr">
        <is>
          <t>Je vais me fier à l'information transmise par le journal télévisé et changer de destination.</t>
        </is>
      </c>
      <c r="K14" s="1" t="inlineStr">
        <is>
          <t>Je préfère me fier à mon intuition pour me décider.</t>
        </is>
      </c>
      <c r="L14" s="46" t="n"/>
      <c r="M14" s="38">
        <f>_xlfn.XLOOKUP(L14,'Questionnaire '!$R$2:$U$2,'Questionnaire '!$R14:$U14)</f>
        <v/>
      </c>
      <c r="N14" s="15">
        <f>IF(L14="A",2,IF(L14="B",1,0))</f>
        <v/>
      </c>
      <c r="O14" s="1" t="inlineStr">
        <is>
          <t>Soft skills</t>
        </is>
      </c>
      <c r="P14" s="48">
        <f>IF(N14&gt;=1,"","À développer")</f>
        <v/>
      </c>
      <c r="Q14" s="48" t="n"/>
      <c r="R14" s="24" t="inlineStr">
        <is>
          <t>Vous êtes attentif aux détails et aimez suggérer des améliorations à ce que vous observez.</t>
        </is>
      </c>
      <c r="S14" s="24" t="inlineStr">
        <is>
          <t>Vous utilisez plus vos sens que votre intuition pour juger et prendre des décisions. Vous aimez les éléments tangibles aux théories. Vous êtes observateur.</t>
        </is>
      </c>
      <c r="T14" s="24" t="inlineStr">
        <is>
          <t>Vous avez tendance à écouter facilement les avis des autres plutôt que vérifier les informations de vous-même.</t>
        </is>
      </c>
      <c r="U14" s="24" t="inlineStr">
        <is>
          <t>Vous préférez vous servir de votre intuition plutôt que de vos sens afin d'émettre un jugement.</t>
        </is>
      </c>
      <c r="W14" s="53">
        <f>IF(N14&gt;0,"N","S")</f>
        <v/>
      </c>
    </row>
    <row r="15" ht="201.6" customHeight="1">
      <c r="A15" s="22" t="n">
        <v>12</v>
      </c>
      <c r="B15" s="17" t="n"/>
      <c r="C15" s="1" t="inlineStr">
        <is>
          <t>Savoir rechercher pour résoudre un problème</t>
        </is>
      </c>
      <c r="D15" s="1" t="inlineStr">
        <is>
          <t>Esprit critique</t>
        </is>
      </c>
      <c r="E15" s="1" t="inlineStr">
        <is>
          <t>Recueil d'information ou perception (S-sensation ou N-intuition)</t>
        </is>
      </c>
      <c r="F15" s="36" t="inlineStr">
        <is>
          <t>Savoir mener des recherches, pour répondre à une question, pour résoudre un problème.</t>
        </is>
      </c>
      <c r="G15" s="42" t="inlineStr">
        <is>
          <t>Vous devez assembler un meuble complexe chez vous. Cependant, vous vous rendez compte que vous avez perdu le mode d'emploi.</t>
        </is>
      </c>
      <c r="H15" s="10" t="inlineStr">
        <is>
          <t>Vous allez contacter le constructeur ou le magasin afin qu’il vous fournisse le mode d'emploi.</t>
        </is>
      </c>
      <c r="I15" s="10" t="inlineStr">
        <is>
          <t>Vous allez rechercher sur internet si vous trouvez des vidéos explicatives.</t>
        </is>
      </c>
      <c r="J15" s="10" t="inlineStr">
        <is>
          <t>Vous appelez un expert pour qu'il construise le meuble à votre place.</t>
        </is>
      </c>
      <c r="K15" s="10" t="inlineStr">
        <is>
          <t>Vous utilisez votre intuition pour construire le meuble au fur et à mesure, et vous adapter.</t>
        </is>
      </c>
      <c r="L15" s="46" t="n"/>
      <c r="M15" s="38">
        <f>_xlfn.XLOOKUP(L15,'Questionnaire '!$R$2:$U$2,'Questionnaire '!$R15:$U15)</f>
        <v/>
      </c>
      <c r="N15" s="15">
        <f>IF(L15="A",2,IF(L15="B",1,0))</f>
        <v/>
      </c>
      <c r="O15" s="1" t="inlineStr">
        <is>
          <t>Soft skills</t>
        </is>
      </c>
      <c r="P15" s="48">
        <f>IF(N15&gt;=1,"","À développer")</f>
        <v/>
      </c>
      <c r="Q15" s="48" t="n"/>
      <c r="R15" s="25" t="inlineStr">
        <is>
          <t>Face à un problème, vous êtes du genre à rechercher toutes les informations pouvant vous permettre de le résoudre avant de demander l'aide d'un expert.</t>
        </is>
      </c>
      <c r="S15" s="25" t="inlineStr">
        <is>
          <t>Face à une complexité, vous préférez vous renseigner sur la source du problème pour pouvoir le résoudre.</t>
        </is>
      </c>
      <c r="T15" s="25" t="inlineStr">
        <is>
          <t>Vous avez tendance à rapidement demander de l'aide lorsque vous rencontrez un problème complexe.</t>
        </is>
      </c>
      <c r="U15" s="25" t="inlineStr">
        <is>
          <t>Face à une complexité, vous préférez vous servir de votre intuition plutôt que  de rechercher la source du problème pour pouvoir le résoudre.</t>
        </is>
      </c>
      <c r="W15" s="53">
        <f>IF(N15&gt;0,"N","S")</f>
        <v/>
      </c>
    </row>
    <row r="16" ht="115.2" customHeight="1">
      <c r="A16" s="22" t="n">
        <v>13</v>
      </c>
      <c r="B16" s="17" t="n"/>
      <c r="C16" s="1" t="inlineStr">
        <is>
          <t>L’intégrité</t>
        </is>
      </c>
      <c r="D16" s="1" t="inlineStr">
        <is>
          <t>Ethique</t>
        </is>
      </c>
      <c r="E16" s="1" t="inlineStr">
        <is>
          <t>Prise de décision (T-pensée ou F-sentiment)</t>
        </is>
      </c>
      <c r="F16" s="36" t="inlineStr">
        <is>
          <t>Capacité à ne pas être corrompu ou influencé, à respecter les règles établis sans tricher. Être droit en toutes circonstances.</t>
        </is>
      </c>
      <c r="G16" s="42" t="inlineStr">
        <is>
          <t>Après avoir payé vos achats, vous remarquez que le caissier vous a rendu trop de monnaie. Comment réagissez-vous ?</t>
        </is>
      </c>
      <c r="H16" s="1" t="inlineStr">
        <is>
          <t>Je signale l'erreur au caissier et lui rends l'argent en trop.</t>
        </is>
      </c>
      <c r="I16" s="1" t="inlineStr">
        <is>
          <t>Je vérifie le montant rendu et, constatant l'erreur, je retourne à la caisse pour rectifier la situation.</t>
        </is>
      </c>
      <c r="J16" s="1" t="inlineStr">
        <is>
          <t>Je garde l'argent, car c'est une chance inattendue.</t>
        </is>
      </c>
      <c r="K16" s="1" t="inlineStr">
        <is>
          <t>Je garde l'argent, car c'est le caissier qui a fait l'erreur, pas moi.</t>
        </is>
      </c>
      <c r="L16" s="46" t="n"/>
      <c r="M16" s="38">
        <f>_xlfn.XLOOKUP(L16,'Questionnaire '!$R$2:$U$2,'Questionnaire '!$R16:$U16)</f>
        <v/>
      </c>
      <c r="N16" s="15">
        <f>IF(L16="A",2,IF(L16="B",1,0))</f>
        <v/>
      </c>
      <c r="O16" s="1" t="inlineStr">
        <is>
          <t>Soft skills</t>
        </is>
      </c>
      <c r="P16" s="48">
        <f>IF(N16&gt;=1,"","À développer")</f>
        <v/>
      </c>
      <c r="Q16" s="48" t="n"/>
      <c r="R16" s="24" t="inlineStr">
        <is>
          <t>Vous avez de l'intégrité. Vous signalez immédiatement l'erreur sans hésiter..</t>
        </is>
      </c>
      <c r="S16" s="24" t="inlineStr">
        <is>
          <t>Vous avez de l'intégrité. Vous vérifiez et rectifiez l'erreur, même si personne ne vous a vu..</t>
        </is>
      </c>
      <c r="T16" s="24" t="inlineStr">
        <is>
          <t>Vous manquez d'intégrité. Vous gardez l'argent sans hésiter..</t>
        </is>
      </c>
      <c r="U16" s="24" t="inlineStr">
        <is>
          <t>Vous manquez d'intégrité. Vous gardez l'argent sans hésiter..</t>
        </is>
      </c>
      <c r="W16" s="53">
        <f>IF(N16&gt;0,"F","T")</f>
        <v/>
      </c>
    </row>
    <row r="17" ht="158.4" customHeight="1">
      <c r="A17" s="22" t="n">
        <v>14</v>
      </c>
      <c r="B17" s="1" t="n"/>
      <c r="C17" s="1" t="inlineStr">
        <is>
          <t>La conscience professionnelle</t>
        </is>
      </c>
      <c r="D17" s="1" t="inlineStr">
        <is>
          <t>Ethique</t>
        </is>
      </c>
      <c r="E17" s="1" t="inlineStr">
        <is>
          <t>Prise de décision (T-pensée ou F-sentiment)</t>
        </is>
      </c>
      <c r="F17" s="36" t="inlineStr">
        <is>
          <t>Être soigneux et appliqué dans la réalisation d’une tâche ou d'un projet, d'un travail peu importe son état mental.</t>
        </is>
      </c>
      <c r="G17" s="42" t="inlineStr">
        <is>
          <t>Vous avez un travail de groupe important à finir pour le lendemain. Votre meilleur(e) ami(e) vous appelle, en vous expliquant qu'il/elle part 6 mois au Mexique et qu'il/elle aimerait passer sa dernière soirée avec vous.</t>
        </is>
      </c>
      <c r="H17" s="1" t="inlineStr">
        <is>
          <t>Vous terminez votre travail dans les délais prévus, en gérant votre émotion pour ne pas impacter le groupe.</t>
        </is>
      </c>
      <c r="I17" s="1" t="inlineStr">
        <is>
          <t>Vous faites une courte pause pour prendre des nouvelles, puis vous reprenez immédiatement votre travail afin de respecter l'engagement collectif.</t>
        </is>
      </c>
      <c r="J17" s="1" t="inlineStr">
        <is>
          <t>Vous lâchez tout pour rejoindre votre ami(e), car vous estimez que l'amitié passe avant tout.</t>
        </is>
      </c>
      <c r="K17" s="1" t="inlineStr">
        <is>
          <t>Vous demandez aux autres membres du groupe de finir sans vous, car le travail ne doit pas prendre le dessus sur les relations humaines.</t>
        </is>
      </c>
      <c r="L17" s="46" t="n"/>
      <c r="M17" s="38">
        <f>_xlfn.XLOOKUP(L17,'Questionnaire '!$R$2:$U$2,'Questionnaire '!$R17:$U17)</f>
        <v/>
      </c>
      <c r="N17" s="15">
        <f>IF(L17="A",2,IF(L17="B",1,0))</f>
        <v/>
      </c>
      <c r="O17" s="6" t="inlineStr">
        <is>
          <t>Soft skills</t>
        </is>
      </c>
      <c r="P17" s="48">
        <f>IF(N17&gt;=1,"","À développer")</f>
        <v/>
      </c>
      <c r="Q17" s="48" t="n"/>
      <c r="R17" s="24" t="inlineStr">
        <is>
          <t>Vous avez une conscience professionnelle très développée. Vous savez gérer vos émotions pour honorer vos engagements.</t>
        </is>
      </c>
      <c r="S17" s="24" t="inlineStr">
        <is>
          <t>Vous avez une bonne conscience professionnelle. Vous trouvez un équilibre entre vos engagements et votre vie personnelle.</t>
        </is>
      </c>
      <c r="T17" s="24" t="inlineStr">
        <is>
          <t>Votre conscience professionnelle est peu développée. Vous avez du mal à respecter vos engagements quand la vie personnelle s'invite.</t>
        </is>
      </c>
      <c r="U17" s="24" t="inlineStr">
        <is>
          <t>Vous manquez de conscience professionnelle. Vous n'hésitez pas à reporter vos responsabilités sur les autres.</t>
        </is>
      </c>
      <c r="W17" s="53">
        <f>IF(N17&gt;0,"F","T")</f>
        <v/>
      </c>
    </row>
    <row r="18" ht="187.2" customHeight="1">
      <c r="A18" s="22" t="n">
        <v>15</v>
      </c>
      <c r="B18" s="17" t="n"/>
      <c r="C18" s="1" t="inlineStr">
        <is>
          <t>La loyauté</t>
        </is>
      </c>
      <c r="D18" s="1" t="inlineStr">
        <is>
          <t>Ethique</t>
        </is>
      </c>
      <c r="E18" s="1" t="inlineStr">
        <is>
          <t>Prise de décision (T-pensée ou F-sentiment)</t>
        </is>
      </c>
      <c r="F18" s="36" t="inlineStr">
        <is>
          <t>Capacité à respecter les engagements fixés et être fidèle envers un organisme, un ou plusieurs individus, une loi, une doctrine, une croyance une religion…etc.</t>
        </is>
      </c>
      <c r="G18" s="42" t="inlineStr">
        <is>
          <t>Vous devez réaliser un travail de groupe entre amis. Cependant, le groupe de travail sympathique dans lequel vous êtes ne fonctionne pas du tout. Votre réaction :</t>
        </is>
      </c>
      <c r="H18" s="1" t="inlineStr">
        <is>
          <t>Vous restez dans le groupe et cherchez à les remotiver, les aider à s'organiser pour améliorer la performance collective.</t>
        </is>
      </c>
      <c r="I18" s="1" t="inlineStr">
        <is>
          <t>Vous restez fidèle au groupe et compensez leur manque en travaillant davantage pour ne pas les laisser tomber.</t>
        </is>
      </c>
      <c r="J18" s="1" t="inlineStr">
        <is>
          <t>Vous les quittez pour intégrer un groupe plus performant, car vous ne voulez pas être pénalisé par eux.</t>
        </is>
      </c>
      <c r="K18" s="1" t="inlineStr">
        <is>
          <t>Vous préférez travailler seul pour être sûr que le travail soit bien fait.</t>
        </is>
      </c>
      <c r="L18" s="46" t="n"/>
      <c r="M18" s="38">
        <f>_xlfn.XLOOKUP(L18,'Questionnaire '!$R$2:$U$2,'Questionnaire '!$R18:$U18)</f>
        <v/>
      </c>
      <c r="N18" s="15">
        <f>IF(L18="A",2,IF(L18="B",1,0))</f>
        <v/>
      </c>
      <c r="O18" s="1" t="inlineStr">
        <is>
          <t>Soft skills</t>
        </is>
      </c>
      <c r="P18" s="48">
        <f>IF(N18&gt;=1,"","À développer")</f>
        <v/>
      </c>
      <c r="Q18" s="48" t="n"/>
      <c r="R18" s="24" t="inlineStr">
        <is>
          <t>Vous êtes quelqu'un de loyal et de fédérateur. Vous ne lâchez pas les gens et cherchez à les faire progresser.</t>
        </is>
      </c>
      <c r="S18" s="24" t="inlineStr">
        <is>
          <t>Vous êtes loyal. Vous préférez rester fidèle à votre groupe et compenser plutôt que de les abandonner.</t>
        </is>
      </c>
      <c r="T18" s="24" t="inlineStr">
        <is>
          <t>Votre loyauté est limitée. Vous êtes prêt à abandonner le groupe dès que cela ne vous avantage plus.</t>
        </is>
      </c>
      <c r="U18" s="24" t="inlineStr">
        <is>
          <t>Vous n'êtes pas particulièrement loyal en groupe. Vous préférez votre réussite personnelle à la cohésion collective.</t>
        </is>
      </c>
      <c r="W18" s="53">
        <f>IF(N18&gt;0,"F","T")</f>
        <v/>
      </c>
    </row>
    <row r="19" ht="288" customHeight="1">
      <c r="A19" s="22" t="n">
        <v>16</v>
      </c>
      <c r="B19" s="17" t="n"/>
      <c r="C19" s="1" t="inlineStr">
        <is>
          <t>Le sens des responsabilités</t>
        </is>
      </c>
      <c r="D19" s="1" t="inlineStr">
        <is>
          <t>Ethique</t>
        </is>
      </c>
      <c r="E19" s="1" t="inlineStr">
        <is>
          <t>Prise de décision (T-pensée ou F-sentiment)</t>
        </is>
      </c>
      <c r="F19" s="36" t="inlineStr">
        <is>
          <t>Aptitude à s'assurer de la qualité des actions entreprises et en assumer les conséquences, qu'elles soient bonnes ou mauvaises.</t>
        </is>
      </c>
      <c r="G19" s="42" t="inlineStr">
        <is>
          <t>En jouant au foot près d'une maison vous brisez une fenêtre. Tous vos amis se mettent à courir, votre réaction :</t>
        </is>
      </c>
      <c r="H19" s="1" t="inlineStr">
        <is>
          <t>Je m'enfuis aussi. Il serait bête de rester là et se faire attraper. Pas vu pas pris.</t>
        </is>
      </c>
      <c r="I19" s="1" t="inlineStr">
        <is>
          <t>Je fais comme si je ne jouais pas au foot et j'indique que le coupable est parti en courant.</t>
        </is>
      </c>
      <c r="J19" s="1" t="inlineStr">
        <is>
          <t>J’attends dehors afin de me dénoncer. Si on doit me sanctionner on me sanctionnera.</t>
        </is>
      </c>
      <c r="K19" s="1" t="inlineStr">
        <is>
          <t xml:space="preserve"> Je me dirige vers la maison pour m'excuser et trouver un moyen de réparer l'erreur.</t>
        </is>
      </c>
      <c r="L19" s="46" t="n"/>
      <c r="M19" s="38">
        <f>_xlfn.XLOOKUP(L19,'Questionnaire '!$R$2:$U$2,'Questionnaire '!$R19:$U19)</f>
        <v/>
      </c>
      <c r="N19" s="15">
        <f>IF(L19="C",2,IF(L19="D",1,0))</f>
        <v/>
      </c>
      <c r="O19" s="1" t="inlineStr">
        <is>
          <t>Soft skills</t>
        </is>
      </c>
      <c r="P19" s="48">
        <f>IF(N19&gt;=1,"","À développer")</f>
        <v/>
      </c>
      <c r="Q19" s="48" t="n"/>
      <c r="R19" s="24" t="inlineStr">
        <is>
          <t>Vous n'aimez pas vous mettre en danger, même quand vous êtes le responsable des tracas.</t>
        </is>
      </c>
      <c r="S19" s="24" t="inlineStr">
        <is>
          <t>Vous n'aimez pas vous mettre en danger, même quand vous êtes le responsable des tracas.</t>
        </is>
      </c>
      <c r="T19" s="24" t="inlineStr">
        <is>
          <t>Vous avez le sens des responsabilités et souhaitez souvent assumer vos erreurs.</t>
        </is>
      </c>
      <c r="U19" s="24" t="inlineStr">
        <is>
          <t>Vous avez le sens des responsabilités et souhaitez souvent assumer vos erreurs.</t>
        </is>
      </c>
      <c r="W19" s="53">
        <f>IF(N19&gt;0,"F","T")</f>
        <v/>
      </c>
    </row>
    <row r="20" ht="230.4" customHeight="1">
      <c r="A20" s="22" t="n">
        <v>17</v>
      </c>
      <c r="B20" s="17" t="n"/>
      <c r="C20" s="1" t="inlineStr">
        <is>
          <t>L'éco-responsabilité</t>
        </is>
      </c>
      <c r="D20" s="1" t="inlineStr">
        <is>
          <t>Ethique</t>
        </is>
      </c>
      <c r="E20" s="1" t="inlineStr">
        <is>
          <t>Prise de décision (T-pensée ou F-sentiment)</t>
        </is>
      </c>
      <c r="F20" s="36" t="inlineStr">
        <is>
          <t>Respecter les règles de protection de l'environnement</t>
        </is>
      </c>
      <c r="G20" s="42" t="inlineStr">
        <is>
          <t>Vous avez la possibilité d'acheter une voiture, vous avez le choix entre plusieurs possibilités :</t>
        </is>
      </c>
      <c r="H20" s="1" t="inlineStr">
        <is>
          <t>Je préfère acheter un vélo ou une trottinette électrique, car c'est le choix le moins polluant.</t>
        </is>
      </c>
      <c r="I20" s="1" t="inlineStr">
        <is>
          <t>J'achète une voiture 100% électrique, pour réduire au maximum mon impact environnemental.</t>
        </is>
      </c>
      <c r="J20" s="1" t="inlineStr">
        <is>
          <t>J'achète une voiture simple, fiable et durable qui correspond à mes besoins du quotidien.</t>
        </is>
      </c>
      <c r="K20" s="1" t="inlineStr">
        <is>
          <t>J'achète une grosse voiture à essence puissante, car ce qui compte c'est le plaisir de conduire.</t>
        </is>
      </c>
      <c r="L20" s="46" t="n"/>
      <c r="M20" s="38">
        <f>_xlfn.XLOOKUP(L20,'Questionnaire '!$R$2:$U$2,'Questionnaire '!$R20:$U20)</f>
        <v/>
      </c>
      <c r="N20" s="15">
        <f>IF(L20="A",2,IF(L20="B",1,0))</f>
        <v/>
      </c>
      <c r="O20" s="1" t="inlineStr">
        <is>
          <t>Soft skills</t>
        </is>
      </c>
      <c r="P20" s="48">
        <f>IF(N20&gt;=1,"","À développer")</f>
        <v/>
      </c>
      <c r="Q20" s="48" t="n"/>
      <c r="R20" s="24" t="inlineStr">
        <is>
          <t>Vous avez une forte conscience écologique. Vous faites des choix radicaux pour limiter votre impact sur l'environnement.</t>
        </is>
      </c>
      <c r="S20" s="24" t="inlineStr">
        <is>
          <t>Vous êtes éco-responsable. Vous faites des choix de mobilité en tenant compte de l'impact environnemental.</t>
        </is>
      </c>
      <c r="T20" s="24" t="inlineStr">
        <is>
          <t>Vous avez une conscience écologique modérée. Vous faites des choix pratiques sans priorité environnementale marquée.</t>
        </is>
      </c>
      <c r="U20" s="24" t="inlineStr">
        <is>
          <t>Vous avez peu de conscience écologique. Votre choix de mobilité ne tient pas compte de l'impact environnemental.</t>
        </is>
      </c>
      <c r="W20" s="53">
        <f>IF(N20&gt;0,"F","T")</f>
        <v/>
      </c>
    </row>
    <row r="21" ht="201.6" customHeight="1">
      <c r="A21" s="22" t="n">
        <v>18</v>
      </c>
      <c r="B21" s="17" t="n"/>
      <c r="C21" s="1" t="inlineStr">
        <is>
          <t>Respect des autres (doublon tolérance)</t>
        </is>
      </c>
      <c r="D21" s="1" t="inlineStr">
        <is>
          <t>Ethique</t>
        </is>
      </c>
      <c r="E21" s="1" t="inlineStr">
        <is>
          <t>Prise de décision (T-pensée ou F-sentiment)</t>
        </is>
      </c>
      <c r="F21" s="36" t="inlineStr">
        <is>
          <t>Avoir de la considération pour les idées, les opinions, les sentiments, les croyances, les coutumes d'un ou plusieurs individus sans émettre de jugement à leur encontre.</t>
        </is>
      </c>
      <c r="G21" s="42" t="inlineStr">
        <is>
          <t>Pourriez-vous prendre en considération une opinion qui bafoue vos principes, vos croyances et/ou votre culture ?</t>
        </is>
      </c>
      <c r="H21" s="1" t="inlineStr">
        <is>
          <t>Oui, c'est tout à fait possible.</t>
        </is>
      </c>
      <c r="I21" s="1" t="inlineStr">
        <is>
          <t>Oui, ça ne me dérange pas.</t>
        </is>
      </c>
      <c r="J21" s="1" t="inlineStr">
        <is>
          <t>Non, je ne préfère pas.</t>
        </is>
      </c>
      <c r="K21" s="1" t="inlineStr">
        <is>
          <t>Non, c'est tout à fait impossible.</t>
        </is>
      </c>
      <c r="L21" s="46" t="n"/>
      <c r="M21" s="38">
        <f>_xlfn.XLOOKUP(L21,'Questionnaire '!$R$2:$U$2,'Questionnaire '!$R21:$U21)</f>
        <v/>
      </c>
      <c r="N21" s="15">
        <f>IF(L21="A",2,IF(L21="B",1,0))</f>
        <v/>
      </c>
      <c r="O21" s="1" t="inlineStr">
        <is>
          <t>Soft skills</t>
        </is>
      </c>
      <c r="P21" s="48">
        <f>IF(N21&gt;=1,"","À développer")</f>
        <v/>
      </c>
      <c r="Q21" s="48" t="n"/>
      <c r="R21" s="24" t="inlineStr">
        <is>
          <t>Vous êtes tolérant envers les autres et prenez en considération leur avis même s'ils sont à l'opposé de vos croyances..</t>
        </is>
      </c>
      <c r="S21" s="24" t="inlineStr">
        <is>
          <t>Vous êtes tolérant envers les autres et prenez en considération leur avis même s'ils sont à l'opposé de vos croyances..</t>
        </is>
      </c>
      <c r="T21" s="24" t="inlineStr">
        <is>
          <t>Vous pouvez souvent faire preuve d'intolérance quant aux avis des autres.</t>
        </is>
      </c>
      <c r="U21" s="24" t="inlineStr">
        <is>
          <t>Vous pouvez souvent faire preuve d'intolérance quant aux avis des autres, surtout quand ils sont en contradiction avec les vôtres.</t>
        </is>
      </c>
      <c r="W21" s="53">
        <f>IF(N21&gt;0,"F","T")</f>
        <v/>
      </c>
    </row>
    <row r="22" ht="144" customHeight="1">
      <c r="A22" s="22" t="n">
        <v>19</v>
      </c>
      <c r="B22" s="17" t="n"/>
      <c r="C22" s="1" t="inlineStr">
        <is>
          <t>Acceptation des retours et critiques</t>
        </is>
      </c>
      <c r="D22" s="1" t="inlineStr">
        <is>
          <t>Intelligence émotionnelle</t>
        </is>
      </c>
      <c r="E22" s="1" t="inlineStr">
        <is>
          <t>Prise de décision (T-pensée ou F-sentiment)</t>
        </is>
      </c>
      <c r="F22" s="36" t="inlineStr">
        <is>
          <t>Capacité à recevoir des critiques constructives sans se vexer.</t>
        </is>
      </c>
      <c r="G22" s="42" t="inlineStr">
        <is>
          <t>Vous avez mis 3 mois à réaliser un dossier complexe, vous le montrez à un inconnu qui juge les résultats déplorables.</t>
        </is>
      </c>
      <c r="H22" s="1" t="inlineStr">
        <is>
          <t>Vous vous empressez de noter ses commentaires afin de comprendre ce qui ne va pas.</t>
        </is>
      </c>
      <c r="I22" s="1" t="inlineStr">
        <is>
          <t>Ça vous énerve, mais vous savez qu'aucun travail n'est parfait donc vous écoutez.</t>
        </is>
      </c>
      <c r="J22" s="1" t="inlineStr">
        <is>
          <t>Vous l'ignorez tout simplement, cette personne vous veut du mal.</t>
        </is>
      </c>
      <c r="K22" s="1" t="inlineStr">
        <is>
          <t>Vous l'envoyez valser, il ne sait pas à quel point vous vous êtes appliqué(e) dans votre travail.</t>
        </is>
      </c>
      <c r="L22" s="46" t="n"/>
      <c r="M22" s="38">
        <f>_xlfn.XLOOKUP(L22,'Questionnaire '!$R$2:$U$2,'Questionnaire '!$R22:$U22)</f>
        <v/>
      </c>
      <c r="N22" s="15">
        <f>IF(L22="A",2,IF(L22="B",1,0))</f>
        <v/>
      </c>
      <c r="O22" s="1" t="inlineStr">
        <is>
          <t>Soft skills</t>
        </is>
      </c>
      <c r="P22" s="48">
        <f>IF(N22&gt;=1,"","À développer")</f>
        <v/>
      </c>
      <c r="Q22" s="48" t="n"/>
      <c r="R22" s="24" t="inlineStr">
        <is>
          <t>Votre recherche d'amélioration vous permet d'apprécier et étudier les critiques.</t>
        </is>
      </c>
      <c r="S22" s="24" t="inlineStr">
        <is>
          <t>Les critiques vous irritent, mais vous préférez les écouter que de perdre un moyen de vous améliorer.</t>
        </is>
      </c>
      <c r="T22" s="24" t="inlineStr">
        <is>
          <t>Vous détestez être critiqué, surtout par des inconnus.</t>
        </is>
      </c>
      <c r="U22" s="24" t="inlineStr">
        <is>
          <t>Vous détestez être critiqué, surtout par des inconnus.</t>
        </is>
      </c>
      <c r="W22" s="53">
        <f>IF(N22&gt;0,"F","T")</f>
        <v/>
      </c>
    </row>
    <row r="23" ht="144" customHeight="1">
      <c r="A23" s="22" t="n">
        <v>20</v>
      </c>
      <c r="B23" s="17" t="n"/>
      <c r="C23" s="1" t="inlineStr">
        <is>
          <t>Introspection</t>
        </is>
      </c>
      <c r="D23" s="1" t="inlineStr">
        <is>
          <t>Intelligence émotionnelle</t>
        </is>
      </c>
      <c r="E23" s="1" t="inlineStr">
        <is>
          <t>Prise de décision (T-pensée ou F-sentiment)</t>
        </is>
      </c>
      <c r="F23" s="36" t="inlineStr">
        <is>
          <t>Aptitude à analyser ses propres émotions, ses aptitudes, ses faiblesses dans le but de se perfectionner.</t>
        </is>
      </c>
      <c r="G23" s="42" t="inlineStr">
        <is>
          <t>Si on vous demande de citer vos qualités et vos défauts, y arrivez-vous facilement ?</t>
        </is>
      </c>
      <c r="H23" s="1" t="inlineStr">
        <is>
          <t>Non, je n'y arrive jamais.</t>
        </is>
      </c>
      <c r="I23" s="10" t="inlineStr">
        <is>
          <t>En général, j'ai besoin qu'on m'aide à le faire.</t>
        </is>
      </c>
      <c r="J23" s="1" t="inlineStr">
        <is>
          <t>Plutôt oui.</t>
        </is>
      </c>
      <c r="K23" s="1" t="inlineStr">
        <is>
          <t>Oui, j'y arrive très facilement.</t>
        </is>
      </c>
      <c r="L23" s="46" t="n"/>
      <c r="M23" s="38">
        <f>_xlfn.XLOOKUP(L23,'Questionnaire '!$R$2:$U$2,'Questionnaire '!$R23:$U23)</f>
        <v/>
      </c>
      <c r="N23" s="15">
        <f>IF(L23="C",2,IF(L23="D",1,0))</f>
        <v/>
      </c>
      <c r="O23" s="6" t="inlineStr">
        <is>
          <t>Soft skills</t>
        </is>
      </c>
      <c r="P23" s="48">
        <f>IF(N23&gt;=1,"","À développer")</f>
        <v/>
      </c>
      <c r="Q23" s="48" t="n"/>
      <c r="R23" s="24" t="inlineStr">
        <is>
          <t>Vous avez des difficultés à expliquer qui vous êtes vraiment. Comme si vous ne vous connaissiez pas réellement..</t>
        </is>
      </c>
      <c r="S23" s="25" t="inlineStr">
        <is>
          <t>Vous avez des difficultés à expliquer qui vous êtes vraiment. Comme si vous ne vous connaissiez pas réellement..</t>
        </is>
      </c>
      <c r="T23" s="24" t="inlineStr">
        <is>
          <t>Vous arrivez à comprendre vos émotions et à les expliquer, mais pas facilement.</t>
        </is>
      </c>
      <c r="U23" s="24" t="inlineStr">
        <is>
          <t>Vous arrivez à comprendre vos émotions et à les expliquer facilement.</t>
        </is>
      </c>
      <c r="W23" s="53">
        <f>IF(N23&gt;0,"F","T")</f>
        <v/>
      </c>
    </row>
    <row r="24" ht="187.2" customHeight="1">
      <c r="A24" s="22" t="n">
        <v>21</v>
      </c>
      <c r="B24" s="17" t="n"/>
      <c r="C24" s="1" t="inlineStr">
        <is>
          <t>L’empathie</t>
        </is>
      </c>
      <c r="D24" s="1" t="inlineStr">
        <is>
          <t>Intelligence émotionnelle</t>
        </is>
      </c>
      <c r="E24" s="1" t="inlineStr">
        <is>
          <t>Energie (E-extraverti ou I-Introverti)</t>
        </is>
      </c>
      <c r="F24" s="36" t="inlineStr">
        <is>
          <t>Capacité à ressentir les émotions d’autres individus (joie, tristesse, honte, frustration, etc.).</t>
        </is>
      </c>
      <c r="G24" s="42" t="inlineStr">
        <is>
          <t>Vous assistez à un spectacle, l'un des acteurs oublie son texte et ne sait plus quoi dire. C'est le silence</t>
        </is>
      </c>
      <c r="H24" s="1" t="inlineStr">
        <is>
          <t>Vous ressentez une forte gêne et avez envie de l'aider en lui soufflant son texte ou en applaudissant pour l'encourager.</t>
        </is>
      </c>
      <c r="I24" s="1" t="inlineStr">
        <is>
          <t>Vous vous sentez mal à l'aise et ressentez profondément son embarras, comme si vous étiez à sa place.</t>
        </is>
      </c>
      <c r="J24" s="1" t="inlineStr">
        <is>
          <t>Vous trouvez la situation comique et cela vous fait sourire.</t>
        </is>
      </c>
      <c r="K24" s="1" t="inlineStr">
        <is>
          <t>Vous êtes déçu par sa prestation et trouvez cela peu professionnel.</t>
        </is>
      </c>
      <c r="L24" s="46" t="n"/>
      <c r="M24" s="38">
        <f>_xlfn.XLOOKUP(L24,'Questionnaire '!$R$2:$U$2,'Questionnaire '!$R24:$U24)</f>
        <v/>
      </c>
      <c r="N24" s="15">
        <f>IF(L24="A",2,IF(L24="B",1,0))</f>
        <v/>
      </c>
      <c r="O24" s="1" t="inlineStr">
        <is>
          <t>Soft skills</t>
        </is>
      </c>
      <c r="P24" s="48">
        <f>IF(N24&gt;=1,"","À développer")</f>
        <v/>
      </c>
      <c r="Q24" s="48" t="n"/>
      <c r="R24" s="24" t="inlineStr">
        <is>
          <t>Vous êtes très empathique. Vous ressentez les émotions des autres et avez le réflexe d'agir pour les soutenir.</t>
        </is>
      </c>
      <c r="S24" s="24" t="inlineStr">
        <is>
          <t>Vous êtes empathique. Vous savez vous mettre à la place des autres et ressentir ce qu'ils vivent.</t>
        </is>
      </c>
      <c r="T24" s="24" t="inlineStr">
        <is>
          <t>Votre empathie est peu développée. Vous avez du mal à ressentir les émotions des autres et prenez du recul.</t>
        </is>
      </c>
      <c r="U24" s="24" t="inlineStr">
        <is>
          <t>Vous manquez d'empathie. Vous jugez les situations de façon détachée sans vous mettre à la place des autres.</t>
        </is>
      </c>
      <c r="W24" s="53">
        <f>IF(N24&gt;0,"E","I")</f>
        <v/>
      </c>
    </row>
    <row r="25" ht="115.2" customHeight="1">
      <c r="A25" s="22" t="n">
        <v>22</v>
      </c>
      <c r="B25" s="17" t="n"/>
      <c r="C25" s="1" t="inlineStr">
        <is>
          <t>La confiance en soi</t>
        </is>
      </c>
      <c r="D25" s="1" t="inlineStr">
        <is>
          <t>Intelligence émotionnelle</t>
        </is>
      </c>
      <c r="E25" s="1" t="inlineStr">
        <is>
          <t>Energie (E-extraverti ou I-Introverti)</t>
        </is>
      </c>
      <c r="F25" s="36" t="inlineStr">
        <is>
          <t>Avoir toujours confiance en ses capacités ou ses actions.</t>
        </is>
      </c>
      <c r="G25" s="42" t="inlineStr">
        <is>
          <t>Vous avez l'opportunité de diriger un projet important au travail. Cela implique de prendre des décisions clés et de gérer une équipe.</t>
        </is>
      </c>
      <c r="H25" s="1" t="inlineStr">
        <is>
          <t>Je suis excité(e) par le défi et confiant(e) dans ma capacité à diriger le projet et à prendre les bonnes décisions.</t>
        </is>
      </c>
      <c r="I25" s="1" t="inlineStr">
        <is>
          <t>Même si je ressens une certaine pression, je suis sûr(e) de mes compétences et prêt(e) à assumer ce rôle de leadership.</t>
        </is>
      </c>
      <c r="J25" s="10" t="inlineStr">
        <is>
          <t>Je suis inquiet(e) à l'idée de ne pas être à la hauteur et j'hésite à accepter le rôle.</t>
        </is>
      </c>
      <c r="K25" s="1" t="inlineStr">
        <is>
          <t>La peur de l'échec me pousse à envisager de décliner l'offre, même si une partie de moi sait que je suis capable.</t>
        </is>
      </c>
      <c r="L25" s="46" t="n"/>
      <c r="M25" s="38">
        <f>_xlfn.XLOOKUP(L25,'Questionnaire '!$R$2:$U$2,'Questionnaire '!$R25:$U25)</f>
        <v/>
      </c>
      <c r="N25" s="15">
        <f>IF(L25="A",2,IF(L25="B",1,0))</f>
        <v/>
      </c>
      <c r="O25" s="6" t="inlineStr">
        <is>
          <t>Soft skills</t>
        </is>
      </c>
      <c r="P25" s="48">
        <f>IF(N25&gt;=1,"","À développer")</f>
        <v/>
      </c>
      <c r="Q25" s="48" t="n"/>
      <c r="R25" s="24" t="inlineStr">
        <is>
          <t>Vous débordez de confiance en vous, ce qui peut vous rendre téméraire parfois.</t>
        </is>
      </c>
      <c r="S25" s="24" t="inlineStr">
        <is>
          <t>En général, vous avez confiance en vos capacités. Vous êtes courageux dans ce que vous entreprenez</t>
        </is>
      </c>
      <c r="T25" s="24" t="inlineStr">
        <is>
          <t>Vous manquez parfois de confiance en vos capacités.</t>
        </is>
      </c>
      <c r="U25" s="24" t="inlineStr">
        <is>
          <t>Vous manquez parfois de confiance en vos capacités.</t>
        </is>
      </c>
      <c r="W25" s="53">
        <f>IF(N25&gt;0,"E","I")</f>
        <v/>
      </c>
    </row>
    <row r="26" ht="115.2" customHeight="1">
      <c r="A26" s="22" t="n">
        <v>23</v>
      </c>
      <c r="B26" s="1" t="n"/>
      <c r="C26" s="1" t="inlineStr">
        <is>
          <t>La gestion du stress</t>
        </is>
      </c>
      <c r="D26" s="1" t="inlineStr">
        <is>
          <t>Intelligence émotionnelle</t>
        </is>
      </c>
      <c r="E26" s="1" t="inlineStr">
        <is>
          <t>Mode d'action ou style de vie (J-Organisation ou P-perception)</t>
        </is>
      </c>
      <c r="F26" s="36" t="inlineStr">
        <is>
          <t>Capacité à supporter la pression liée à la réalisation d’une ou plusieurs tâches sans paniquer (examens, projets, demandes hiérarchiques, présentations, etc.).</t>
        </is>
      </c>
      <c r="G26" s="42" t="inlineStr">
        <is>
          <t>Une heure avant une présentation orale importante, votre ordinateur plante et vous perdez tous vos documents. Votre réaction :</t>
        </is>
      </c>
      <c r="H26" s="1" t="inlineStr">
        <is>
          <t>Vous déprimez et perdez vos moyens car tout est fini. Vous avez les larmes aux yeux.</t>
        </is>
      </c>
      <c r="I26" s="1" t="inlineStr">
        <is>
          <t>Vous faites tout pour annuler la présentation car vous ne pourrez pas vous souvenir de tout.</t>
        </is>
      </c>
      <c r="J26" s="1" t="inlineStr">
        <is>
          <t>Vous prenez une respiration, et tentez de reproduire votre présentation en puisant dans vos souvenirs.</t>
        </is>
      </c>
      <c r="K26" s="1" t="inlineStr">
        <is>
          <t>Vous y allez au talent. Ça passe ou ça casse.</t>
        </is>
      </c>
      <c r="L26" s="46" t="n"/>
      <c r="M26" s="38">
        <f>_xlfn.XLOOKUP(L26,'Questionnaire '!$R$2:$U$2,'Questionnaire '!$R26:$U26)</f>
        <v/>
      </c>
      <c r="N26" s="15">
        <f>IF(L26="C",2,IF(L26="D",1,0))</f>
        <v/>
      </c>
      <c r="O26" s="1" t="inlineStr">
        <is>
          <t>Soft skills</t>
        </is>
      </c>
      <c r="P26" s="48">
        <f>IF(N26&gt;=1,"","À développer")</f>
        <v/>
      </c>
      <c r="Q26" s="48" t="n"/>
      <c r="R26" s="24" t="inlineStr">
        <is>
          <t>Vous avez du mal à supporter les situations de stress intenses. Au point de perdre vos moyens.</t>
        </is>
      </c>
      <c r="S26" s="24" t="inlineStr">
        <is>
          <t>Vous avez du mal à supporter les situations de stress intenses. Au point de perdre vos moyens.</t>
        </is>
      </c>
      <c r="T26" s="24" t="inlineStr">
        <is>
          <t>Vous savez gérer vos émotions dans une situation stressantes.</t>
        </is>
      </c>
      <c r="U26" s="24" t="inlineStr">
        <is>
          <t xml:space="preserve">
Vous pouvez être décalé en situation de stress, comme si vous étiez insensible à la situation.</t>
        </is>
      </c>
      <c r="W26" s="53">
        <f>IF(N26&gt;0,"N","S")</f>
        <v/>
      </c>
    </row>
    <row r="27" ht="115.2" customHeight="1">
      <c r="A27" s="22" t="n">
        <v>24</v>
      </c>
      <c r="B27" s="1" t="n"/>
      <c r="C27" s="1" t="inlineStr">
        <is>
          <t>La sensibilité</t>
        </is>
      </c>
      <c r="D27" s="1" t="inlineStr">
        <is>
          <t>Intelligence émotionnelle</t>
        </is>
      </c>
      <c r="E27" s="1" t="inlineStr">
        <is>
          <t>Prise de décision (T-pensée ou F-sentiment)</t>
        </is>
      </c>
      <c r="F27" s="36" t="inlineStr">
        <is>
          <t>Aptitude à s'émouvoir, à éprouver des sentiments d'humanité, de compassion, de tendresse envers autrui, autre chose ou un évènement.</t>
        </is>
      </c>
      <c r="G27" s="42" t="inlineStr">
        <is>
          <t>Vous venez d'apprendre que la femme d'un voisin, avec qui vous avez peu d'affinités, vient d'être hospitalisée dans un état grave, vous êtes du genre à :</t>
        </is>
      </c>
      <c r="H27" s="10" t="inlineStr">
        <is>
          <t>À ne rien ressentir, car vous n'êtes pas très proche de votre voisin.</t>
        </is>
      </c>
      <c r="I27" s="10" t="inlineStr">
        <is>
          <t>À ne pas vouloir vous mêler de ce qui ne vous regarde pas.</t>
        </is>
      </c>
      <c r="J27" s="10" t="inlineStr">
        <is>
          <t>À vouloir pleurer quand vous voyez votre voisin triste et désespéré.</t>
        </is>
      </c>
      <c r="K27" s="10" t="inlineStr">
        <is>
          <t>À vouloir l'aider et le réconforter même si vous n'êtes pas très proche.</t>
        </is>
      </c>
      <c r="L27" s="46" t="n"/>
      <c r="M27" s="38">
        <f>_xlfn.XLOOKUP(L27,'Questionnaire '!$R$2:$U$2,'Questionnaire '!$R27:$U27)</f>
        <v/>
      </c>
      <c r="N27" s="15">
        <f>IF(L27="C",2,IF(L27="D",1,0))</f>
        <v/>
      </c>
      <c r="O27" s="1" t="inlineStr">
        <is>
          <t>Soft skills</t>
        </is>
      </c>
      <c r="P27" s="48">
        <f>IF(N27&gt;=1,"","À développer")</f>
        <v/>
      </c>
      <c r="Q27" s="48" t="n"/>
      <c r="R27" s="24" t="inlineStr">
        <is>
          <t>Vous pouvez parfois manquer de sensibilité sur des sujets que d'autres trouveraient émouvant.</t>
        </is>
      </c>
      <c r="S27" s="25" t="inlineStr">
        <is>
          <t>Vous n'êtes pas quelqu'un que l'on peut émouvoir facilement..</t>
        </is>
      </c>
      <c r="T27" s="25" t="inlineStr">
        <is>
          <t>Vous êtes quelqu'un de sensible et on peut vous émouvoir facilement.</t>
        </is>
      </c>
      <c r="U27" s="25" t="inlineStr">
        <is>
          <t>Vous êtes quelqu'un de sensible et on peut vous émouvoir facilement.</t>
        </is>
      </c>
      <c r="W27" s="53">
        <f>IF(N27&gt;0,"F","T")</f>
        <v/>
      </c>
    </row>
    <row r="28" ht="129.6" customHeight="1">
      <c r="A28" s="22" t="n">
        <v>25</v>
      </c>
      <c r="B28" s="17" t="n"/>
      <c r="C28" s="1" t="inlineStr">
        <is>
          <t>Altruisme</t>
        </is>
      </c>
      <c r="D28" s="1" t="inlineStr">
        <is>
          <t>Intelligence sociale</t>
        </is>
      </c>
      <c r="E28" s="1" t="inlineStr">
        <is>
          <t>Energie (E-extraverti ou I-Introverti)</t>
        </is>
      </c>
      <c r="F28" s="36" t="inlineStr">
        <is>
          <t>Capacité à se soucier du bien des autres et de s'y consacrer de façon désintéressée.</t>
        </is>
      </c>
      <c r="G28" s="42" t="inlineStr">
        <is>
          <t>Vous vous rendez compte que vous êtes le seul à avoir bien noté les informations liées à un examen important.</t>
        </is>
      </c>
      <c r="H28" s="1" t="inlineStr">
        <is>
          <t>Vous les partagez immédiatement avec tous ceux qui doivent passer l'examen, sans distinction.</t>
        </is>
      </c>
      <c r="I28" s="1" t="inlineStr">
        <is>
          <t>Vous les partagez en priorité avec ceux qui ont des difficultés dans la matière, pour les aider à réussir.</t>
        </is>
      </c>
      <c r="J28" s="1" t="inlineStr">
        <is>
          <t>Vous les partagez avec ceux qui pourraient vous apporter quelque chose en retour.</t>
        </is>
      </c>
      <c r="K28" s="1" t="inlineStr">
        <is>
          <t>Vous gardez cette information pour vous afin d'avoir un avantage sur les autres.</t>
        </is>
      </c>
      <c r="L28" s="46" t="n"/>
      <c r="M28" s="38">
        <f>_xlfn.XLOOKUP(L28,'Questionnaire '!$R$2:$U$2,'Questionnaire '!$R28:$U28)</f>
        <v/>
      </c>
      <c r="N28" s="15">
        <f>IF(L28="A",2,IF(L28="B",1,0))</f>
        <v/>
      </c>
      <c r="O28" s="6" t="inlineStr">
        <is>
          <t>Soft skills</t>
        </is>
      </c>
      <c r="P28" s="48">
        <f>IF(N28&gt;=1,"","À développer")</f>
        <v/>
      </c>
      <c r="Q28" s="48" t="n"/>
      <c r="R28" s="24" t="inlineStr">
        <is>
          <t>Vous êtes très altruiste. Vous partagez sans réfléchir et sans condition, car vous voulez que tout le monde réussisse.</t>
        </is>
      </c>
      <c r="S28" s="24" t="inlineStr">
        <is>
          <t>Vous êtes altruiste, avec une attention particulière pour ceux qui en ont le plus besoin.</t>
        </is>
      </c>
      <c r="T28" s="24" t="inlineStr">
        <is>
          <t>Votre altruisme est conditionnel. Vous aidez si vous pouvez en tirer quelque chose.</t>
        </is>
      </c>
      <c r="U28" s="24" t="inlineStr">
        <is>
          <t>Vous n'êtes pas altruiste. Vous préférez garder vos avantages pour vous.</t>
        </is>
      </c>
      <c r="W28" s="53">
        <f>IF(N28&gt;0,"E","I")</f>
        <v/>
      </c>
    </row>
    <row r="29" ht="187.2" customHeight="1">
      <c r="A29" s="22" t="n">
        <v>26</v>
      </c>
      <c r="B29" s="17" t="n"/>
      <c r="C29" s="1" t="inlineStr">
        <is>
          <t>Esprit d'équipe</t>
        </is>
      </c>
      <c r="D29" s="1" t="inlineStr">
        <is>
          <t>Intelligence sociale</t>
        </is>
      </c>
      <c r="E29" s="1" t="inlineStr">
        <is>
          <t>Energie (E-extraverti ou I-Introverti)</t>
        </is>
      </c>
      <c r="F29" s="36" t="inlineStr">
        <is>
          <t>Aptitude à faire preuve d'altruisme et de solidarité avec les membres de son groupe.</t>
        </is>
      </c>
      <c r="G29" s="42" t="inlineStr">
        <is>
          <t>Vous devez réaliser un travail, mais il sera pris en compte uniquement si vous le réalisez en groupe, votre réaction :</t>
        </is>
      </c>
      <c r="H29" s="1" t="inlineStr">
        <is>
          <t>Vous êtes heureux de pouvoir travailler à plusieurs, c'est plus amusant.</t>
        </is>
      </c>
      <c r="I29" s="1" t="inlineStr">
        <is>
          <t>Vous êtes pressé(e) de connaître vos futurs collaborateurs.</t>
        </is>
      </c>
      <c r="J29" s="1" t="inlineStr">
        <is>
          <t>Vous le faites mais uniquement parce que vous n'avez pas le choix. Sinon, vous auriez évité.</t>
        </is>
      </c>
      <c r="K29" s="1" t="inlineStr">
        <is>
          <t>Cette idée vous fatigue déjà. Vous détestez les travaux de groupe.</t>
        </is>
      </c>
      <c r="L29" s="46" t="n"/>
      <c r="M29" s="38">
        <f>_xlfn.XLOOKUP(L29,'Questionnaire '!$R$2:$U$2,'Questionnaire '!$R29:$U29)</f>
        <v/>
      </c>
      <c r="N29" s="15">
        <f>IF(L29="A",2,IF(L29="B",1,0))</f>
        <v/>
      </c>
      <c r="O29" s="6" t="inlineStr">
        <is>
          <t>Soft skills</t>
        </is>
      </c>
      <c r="P29" s="48">
        <f>IF(N29&gt;=1,"","À développer")</f>
        <v/>
      </c>
      <c r="Q29" s="48" t="n"/>
      <c r="R29" s="24" t="inlineStr">
        <is>
          <t>Vous aimez le travail en équipe.</t>
        </is>
      </c>
      <c r="S29" s="24" t="inlineStr">
        <is>
          <t>Vous aimez le travail en équipe tant que vous avez des affinité avec vos collaborateurs.</t>
        </is>
      </c>
      <c r="T29" s="24" t="inlineStr">
        <is>
          <t>Vous êtes du genre à travailler en équipe uniquement si cela est nécessaire.. Dans le cas contraire non.</t>
        </is>
      </c>
      <c r="U29" s="24" t="inlineStr">
        <is>
          <t>Vous êtes du genre à travailler en équipe uniquement si cela est nécessaire.. Dans le cas contraire non.</t>
        </is>
      </c>
      <c r="W29" s="53">
        <f>IF(N29&gt;0,"E","I")</f>
        <v/>
      </c>
    </row>
    <row r="30" ht="129.6" customHeight="1">
      <c r="A30" s="22" t="n">
        <v>27</v>
      </c>
      <c r="B30" s="17" t="n"/>
      <c r="C30" s="1" t="inlineStr">
        <is>
          <t>Intelligence culturelle</t>
        </is>
      </c>
      <c r="D30" s="1" t="inlineStr">
        <is>
          <t>Intelligence sociale</t>
        </is>
      </c>
      <c r="E30" s="1" t="inlineStr">
        <is>
          <t>Energie (E-extraverti ou I-Introverti)</t>
        </is>
      </c>
      <c r="F30" s="36" t="inlineStr">
        <is>
          <t>Capacité de s'adapter à différents contextes ou groupes culturels.</t>
        </is>
      </c>
      <c r="G30" s="42" t="inlineStr">
        <is>
          <t>Si vous deviez aller dans un pays étranger en vacances, vous seriez :</t>
        </is>
      </c>
      <c r="H30" s="1" t="inlineStr">
        <is>
          <t>La personne qui va essayer de parler la langue, apprendre les coutumes, aborder les styles vestimentaires.</t>
        </is>
      </c>
      <c r="I30" s="1" t="inlineStr">
        <is>
          <t>La personne qui va vouloir aller dormir chez les gens, aller visiter les lieux historiques.</t>
        </is>
      </c>
      <c r="J30" s="1" t="inlineStr">
        <is>
          <t>Celle qui va préférer aller au Macdonald à la place de découvrir la cuisine locale.</t>
        </is>
      </c>
      <c r="K30" s="1" t="inlineStr">
        <is>
          <t>La personne qui va préférer rester à l'hôtel pour profiter du calme et de la piscine un maximum.</t>
        </is>
      </c>
      <c r="L30" s="46" t="n"/>
      <c r="M30" s="38">
        <f>_xlfn.XLOOKUP(L30,'Questionnaire '!$R$2:$U$2,'Questionnaire '!$R30:$U30)</f>
        <v/>
      </c>
      <c r="N30" s="15">
        <f>IF(L30="A",2,IF(L30="B",1,0))</f>
        <v/>
      </c>
      <c r="O30" s="1" t="inlineStr">
        <is>
          <t>Soft skills</t>
        </is>
      </c>
      <c r="P30" s="48">
        <f>IF(N30&gt;=1,"","À développer")</f>
        <v/>
      </c>
      <c r="Q30" s="48" t="n"/>
      <c r="R30" s="24" t="inlineStr">
        <is>
          <t>Vous avez un attrait pour la découverte d'autres cultures et d'autres langues.</t>
        </is>
      </c>
      <c r="S30" s="24" t="inlineStr">
        <is>
          <t>Vous avez un attrait pour la découverte d'autres cultures et d'autres langues.</t>
        </is>
      </c>
      <c r="T30" s="24" t="inlineStr">
        <is>
          <t>Vous n'avez pas la particularité de vouloir découvrir d'autres cultures ou apprendre d'autres langues si ce n'est pas nécessaire.</t>
        </is>
      </c>
      <c r="U30" s="24" t="inlineStr">
        <is>
          <t>Vous n'avez pas la particularité de vouloir découvrir d'autres cultures ou apprendre d'autres langues si ce n'est pas nécessaire.</t>
        </is>
      </c>
      <c r="W30" s="53">
        <f>IF(N30&gt;0,"E","I")</f>
        <v/>
      </c>
    </row>
    <row r="31" ht="158.4" customHeight="1">
      <c r="A31" s="22" t="n">
        <v>28</v>
      </c>
      <c r="B31" s="17" t="n"/>
      <c r="C31" s="1" t="inlineStr">
        <is>
          <t>La coopération, la collaboration</t>
        </is>
      </c>
      <c r="D31" s="1" t="inlineStr">
        <is>
          <t>Intelligence sociale</t>
        </is>
      </c>
      <c r="E31" s="1" t="inlineStr">
        <is>
          <t>Energie (E-extraverti ou I-Introverti)</t>
        </is>
      </c>
      <c r="F31" s="36" t="inlineStr">
        <is>
          <t>Aptitude à travailler avec un ou plusieurs autres individus dans le but d'une réalisation commune.</t>
        </is>
      </c>
      <c r="G31" s="42" t="inlineStr">
        <is>
          <t>Avez-vous une facilité à collaborer avec des personnes avec qui vous n'avez aucunes affinités ?</t>
        </is>
      </c>
      <c r="H31" s="1" t="inlineStr">
        <is>
          <t>Oui, je m'adapte à n'importe quel profil et je sais travailler efficacement avec tout le monde, quelles que soient mes affinités.</t>
        </is>
      </c>
      <c r="I31" s="1" t="inlineStr">
        <is>
          <t>Oui, tant qu'on se respecte mutuellement, on peut collaborer sans nécessairement s'apprécier.</t>
        </is>
      </c>
      <c r="J31" s="1" t="inlineStr">
        <is>
          <t>Pas vraiment, il me faut un minimum de points communs pour travailler sereinement avec quelqu'un.</t>
        </is>
      </c>
      <c r="K31" s="1" t="inlineStr">
        <is>
          <t>Non, j'ai besoin d'apprécier les personnes avec qui je travaille pour être efficace.</t>
        </is>
      </c>
      <c r="L31" s="46" t="n"/>
      <c r="M31" s="38">
        <f>_xlfn.XLOOKUP(L31,'Questionnaire '!$R$2:$U$2,'Questionnaire '!$R31:$U31)</f>
        <v/>
      </c>
      <c r="N31" s="15">
        <f>IF(L31="A",2,IF(L31="B",1,0))</f>
        <v/>
      </c>
      <c r="O31" s="6" t="inlineStr">
        <is>
          <t>Soft skills</t>
        </is>
      </c>
      <c r="P31" s="48">
        <f>IF(N31&gt;=1,"","À développer")</f>
        <v/>
      </c>
      <c r="Q31" s="48" t="n"/>
      <c r="R31" s="24" t="inlineStr">
        <is>
          <t>Vous avez une excellente capacité de coopération. Vous savez mettre de côté vos affinités personnelles pour travailler avec n'importe qui.</t>
        </is>
      </c>
      <c r="S31" s="24" t="inlineStr">
        <is>
          <t>Vous savez coopérer avec des personnes que vous n'appréciez pas forcément, tant qu'il y a un respect mutuel.</t>
        </is>
      </c>
      <c r="T31" s="24" t="inlineStr">
        <is>
          <t>Votre capacité de coopération est limitée. Vous avez besoin d'un minimum d'affinités pour bien travailler avec quelqu'un.</t>
        </is>
      </c>
      <c r="U31" s="24" t="inlineStr">
        <is>
          <t>Vous avez du mal à collaborer avec des personnes que vous n'appréciez pas. Cela peut limiter votre efficacité en équipe.</t>
        </is>
      </c>
      <c r="W31" s="53">
        <f>IF(N31&gt;0,"E","I")</f>
        <v/>
      </c>
    </row>
    <row r="32" ht="129.6" customHeight="1">
      <c r="A32" s="22" t="n">
        <v>29</v>
      </c>
      <c r="B32" s="17" t="n"/>
      <c r="C32" s="1" t="inlineStr">
        <is>
          <t>Le networking</t>
        </is>
      </c>
      <c r="D32" s="1" t="inlineStr">
        <is>
          <t>Intelligence sociale</t>
        </is>
      </c>
      <c r="E32" s="1" t="inlineStr">
        <is>
          <t>Energie (E-extraverti ou I-Introverti)</t>
        </is>
      </c>
      <c r="F32" s="36" t="inlineStr">
        <is>
          <t>Capacité à nouer et maintenir des liens avec d'autres individus et de se créer un réseau sur le long terme.</t>
        </is>
      </c>
      <c r="G32" s="42" t="inlineStr">
        <is>
          <t>Aimez-vous nouer des liens avec les gens et entretenir les relations sur le long terme ?</t>
        </is>
      </c>
      <c r="H32" s="1" t="inlineStr">
        <is>
          <t>Oui carrément j'adore ça, et je le fais très bien.</t>
        </is>
      </c>
      <c r="I32" s="1" t="inlineStr">
        <is>
          <t>Plutôt oui, mais je ne suis pas encore expert en la matière.</t>
        </is>
      </c>
      <c r="J32" s="1" t="inlineStr">
        <is>
          <t>Non pas du tout, je préfère avoir un petit groupe d'amis.</t>
        </is>
      </c>
      <c r="K32" s="1" t="inlineStr">
        <is>
          <t>Non, je préfère être seul.</t>
        </is>
      </c>
      <c r="L32" s="46" t="n"/>
      <c r="M32" s="38">
        <f>_xlfn.XLOOKUP(L32,'Questionnaire '!$R$2:$U$2,'Questionnaire '!$R32:$U32)</f>
        <v/>
      </c>
      <c r="N32" s="15">
        <f>IF(L32="A",2,IF(L32="B",1,0))</f>
        <v/>
      </c>
      <c r="O32" s="1" t="inlineStr">
        <is>
          <t>Soft skills</t>
        </is>
      </c>
      <c r="P32" s="48">
        <f>IF(N32&gt;=1,"","À développer")</f>
        <v/>
      </c>
      <c r="Q32" s="48" t="n"/>
      <c r="R32" s="26" t="inlineStr">
        <is>
          <t>Vous prenez du plaisir à créer une communauté ou un réseau autour de vous. Vous êtes du genre à vous faire des amis rapidement.</t>
        </is>
      </c>
      <c r="S32" s="26" t="inlineStr">
        <is>
          <t>Vous prenez du plaisir à créer une communauté ou un réseau autour de vous. Vous êtes du genre à vous faire des amis rapidement.</t>
        </is>
      </c>
      <c r="T32" s="24" t="inlineStr">
        <is>
          <t>Vous préférez avoir un petit groupe d'amis plutôt qu’une multitude de connaissances. Ce qui peut vous empêcher d’avoir un réseau de connaissances large.</t>
        </is>
      </c>
      <c r="U32" s="24" t="inlineStr">
        <is>
          <t>Vous êtes quelqu'un de solitaire.</t>
        </is>
      </c>
      <c r="W32" s="53">
        <f>IF(N32&gt;0,"E","I")</f>
        <v/>
      </c>
    </row>
    <row r="33" ht="115.2" customHeight="1">
      <c r="A33" s="22" t="n">
        <v>30</v>
      </c>
      <c r="B33" s="17" t="n"/>
      <c r="C33" s="1" t="inlineStr">
        <is>
          <t>Sociabilité</t>
        </is>
      </c>
      <c r="D33" s="1" t="inlineStr">
        <is>
          <t>Intelligence sociale</t>
        </is>
      </c>
      <c r="E33" s="1" t="inlineStr">
        <is>
          <t>Energie (E-extraverti ou I-Introverti)</t>
        </is>
      </c>
      <c r="F33" s="36" t="inlineStr">
        <is>
          <t>Capacité à vivre en société ou avec un groupe d'individu. Recherche de compagnie.</t>
        </is>
      </c>
      <c r="G33" s="42" t="inlineStr">
        <is>
          <t>Lorsque vous devez aller en soirée ou à un anniversaire vous êtes du genre à :</t>
        </is>
      </c>
      <c r="H33" s="1" t="inlineStr">
        <is>
          <t>Aller parler à tout le monde car vous voulez absolument savoir qui est qui.</t>
        </is>
      </c>
      <c r="I33" s="1" t="inlineStr">
        <is>
          <t>Lancer les conversations même si vous n'y êtes pas obligé.</t>
        </is>
      </c>
      <c r="J33" s="1" t="inlineStr">
        <is>
          <t>A chercher un moyen de vous échapper pour éviter de parler aux gens.</t>
        </is>
      </c>
      <c r="K33" s="1" t="inlineStr">
        <is>
          <t>Essayer de ne pas aller en soirée ou aux anniversaires.</t>
        </is>
      </c>
      <c r="L33" s="46" t="n"/>
      <c r="M33" s="38">
        <f>_xlfn.XLOOKUP(L33,'Questionnaire '!$R$2:$U$2,'Questionnaire '!$R33:$U33)</f>
        <v/>
      </c>
      <c r="N33" s="15">
        <f>IF(L33="A",2,IF(L33="B",1,0))</f>
        <v/>
      </c>
      <c r="O33" s="1" t="inlineStr">
        <is>
          <t>Soft skills</t>
        </is>
      </c>
      <c r="P33" s="48">
        <f>IF(N33&gt;=1,"","À développer")</f>
        <v/>
      </c>
      <c r="Q33" s="48" t="n"/>
      <c r="R33" s="26" t="inlineStr">
        <is>
          <t>Vous êtes extrêmement sociable..</t>
        </is>
      </c>
      <c r="S33" s="26" t="inlineStr">
        <is>
          <t>Vous n'aimez pas les moments de silence et de gène. Votre sociabilité vous incite à lancer les conversations.</t>
        </is>
      </c>
      <c r="T33" s="24" t="inlineStr">
        <is>
          <t>Vous n'êtes pas quelqu'un de très sociable.</t>
        </is>
      </c>
      <c r="U33" s="24" t="inlineStr">
        <is>
          <t>Vous n'êtes pas quelqu'un de très sociable.</t>
        </is>
      </c>
      <c r="W33" s="53">
        <f>IF(N33&gt;0,"E","I")</f>
        <v/>
      </c>
    </row>
    <row r="34" ht="144" customHeight="1">
      <c r="A34" s="22" t="n">
        <v>31</v>
      </c>
      <c r="B34" s="1" t="inlineStr">
        <is>
          <t>Etats d'esprit et attitude</t>
        </is>
      </c>
      <c r="C34" s="1" t="inlineStr">
        <is>
          <t>L’Autonomie</t>
        </is>
      </c>
      <c r="D34" s="1" t="inlineStr">
        <is>
          <t>Management de projet</t>
        </is>
      </c>
      <c r="E34" s="1" t="inlineStr">
        <is>
          <t>Mode d'action ou style de vie (J-Organisation ou P-perception)</t>
        </is>
      </c>
      <c r="F34" s="36" t="inlineStr">
        <is>
          <t>Ne pas avoir besoin d’accompagnement lorsque l’on entreprend une action.</t>
        </is>
      </c>
      <c r="G34" s="42" t="inlineStr">
        <is>
          <t>Lorsqu'on vous confie un projet ou une tâche sans instructions détaillées, comment procédez-vous ?</t>
        </is>
      </c>
      <c r="H34" s="1" t="inlineStr">
        <is>
          <t>Je me fixe mes propres objectifs et échéances, j'organise mon travail de façon autonome et je cherche les ressources nécessaires par moi-même..</t>
        </is>
      </c>
      <c r="I34" s="1" t="inlineStr">
        <is>
          <t>Je recherche des informations en ligne — tutoriels, forums, articles — pour trouver comment réaliser le travail au mieux.</t>
        </is>
      </c>
      <c r="J34" s="1" t="inlineStr">
        <is>
          <t>Je préfère me faire accompagner par un expert pour être sûr que le travail soit bien réalisé.</t>
        </is>
      </c>
      <c r="K34" s="1" t="inlineStr">
        <is>
          <t>Je demande de l'aide à des amis ou collègues qui s'y connaissent mieux que moi.</t>
        </is>
      </c>
      <c r="L34" s="46" t="n"/>
      <c r="M34" s="38">
        <f>_xlfn.XLOOKUP(L34,'Questionnaire '!$R$2:$U$2,'Questionnaire '!$R34:$U34)</f>
        <v/>
      </c>
      <c r="N34" s="15">
        <f>IF(L34="A",2,IF(L34="B",1,0))</f>
        <v/>
      </c>
      <c r="O34" s="15" t="inlineStr">
        <is>
          <t>Soft skills</t>
        </is>
      </c>
      <c r="P34" s="48">
        <f>IF(N34&gt;=1,"","À développer")</f>
        <v/>
      </c>
      <c r="Q34" s="48" t="n"/>
      <c r="R34" s="24" t="inlineStr">
        <is>
          <t>Vous êtes très autonome. Vous savez vous organiser, vous fixer des objectifs et trouver les ressources nécessaires sans aide extérieure.</t>
        </is>
      </c>
      <c r="S34" s="24" t="inlineStr">
        <is>
          <t>Vous êtes autonome. Vous n'hésitez pas à chercher par vous-même les informations dont vous avez besoin pour avancer.</t>
        </is>
      </c>
      <c r="T34" s="24" t="inlineStr">
        <is>
          <t>Votre autonomie est limitée. Vous avez besoin d'être accompagné pour réaliser des tâches sans instructions détaillées.</t>
        </is>
      </c>
      <c r="U34" s="24" t="inlineStr">
        <is>
          <t>Vous manquez d'autonomie. Vous cherchez rapidement de l'aide plutôt que d'essayer de trouver des solutions par vous-même.</t>
        </is>
      </c>
      <c r="V34" s="26" t="n"/>
      <c r="W34" s="53">
        <f>IF(N34&gt;0,"N","S")</f>
        <v/>
      </c>
    </row>
    <row r="35" ht="129.6" customHeight="1">
      <c r="A35" s="22" t="n">
        <v>32</v>
      </c>
      <c r="B35" s="1" t="n"/>
      <c r="C35" s="1" t="inlineStr">
        <is>
          <t>La fixation d'objectifs</t>
        </is>
      </c>
      <c r="D35" s="1" t="inlineStr">
        <is>
          <t>Management de projet</t>
        </is>
      </c>
      <c r="E35" s="1" t="inlineStr">
        <is>
          <t>Prise de décision (T-pensée ou F-sentiment)</t>
        </is>
      </c>
      <c r="F35" s="36" t="inlineStr">
        <is>
          <t>Capacité à fixer des objectifs spécifiques, mesurables, atteignables, réalistes et temporels.</t>
        </is>
      </c>
      <c r="G35" s="42" t="inlineStr">
        <is>
          <t>Vous envisagez d'apprendre une nouvelle langue cette année. Comment prévoyez-vous de gérer ce projet ?</t>
        </is>
      </c>
      <c r="H35" s="1" t="inlineStr">
        <is>
          <t>Je planifie un certain nombre d'heures par semaine à l'étude de la langue et je fixe des délais pour évaluer mes progrès, comme maîtriser les bases d'ici trois mois.</t>
        </is>
      </c>
      <c r="I35" s="1" t="inlineStr">
        <is>
          <t>Je m'inscris à un cours en ligne et je me fixe des objectifs clairs, par exemple atteindre un niveau intermédiaire en six mois, en suivant régulièrement les leçons et en pratiquant quotidiennement.</t>
        </is>
      </c>
      <c r="J35" s="1" t="inlineStr">
        <is>
          <t>J'achète des livres de langue et des applications, mais sans plan précis sur comment et quand les utiliser.</t>
        </is>
      </c>
      <c r="K35" s="1" t="inlineStr">
        <is>
          <t>J'ai l'intention d'apprendre quand j'ai du temps libre, sans me fixer d'objectifs ou de calendrier spécifiques.</t>
        </is>
      </c>
      <c r="L35" s="46" t="n"/>
      <c r="M35" s="38">
        <f>_xlfn.XLOOKUP(L35,'Questionnaire '!$R$2:$U$2,'Questionnaire '!$R35:$U35)</f>
        <v/>
      </c>
      <c r="N35" s="15">
        <f>IF(L35="A",2,IF(L35="B",1,0))</f>
        <v/>
      </c>
      <c r="O35" s="48" t="inlineStr">
        <is>
          <t>Soft skills</t>
        </is>
      </c>
      <c r="P35" s="48">
        <f>IF(N35&gt;=1,"","À développer")</f>
        <v/>
      </c>
      <c r="Q35" s="48" t="n"/>
      <c r="R35" s="24" t="inlineStr">
        <is>
          <t>Vous n'aimez pas vous fixer des objectifs qui vous semblent disproportionnés par rapport à vos capacités. Vous êtes réaliste.</t>
        </is>
      </c>
      <c r="S35" s="24" t="inlineStr">
        <is>
          <t>Vous n'aimez pas vous fixer des objectifs qui vous semblent disproportionnés par rapport à vos capacités. Vous êtes réaliste.</t>
        </is>
      </c>
      <c r="T35" s="24" t="inlineStr">
        <is>
          <t>Vous êtes très ambitieux. Cependant, vous avez tendance à vous fixer des objectifs sans prendre en compte vos capacités réelles.</t>
        </is>
      </c>
      <c r="U35" s="24" t="inlineStr">
        <is>
          <t>Vous êtes très ambitieux. Cependant, vous avez tendance à vous fixer des objectifs sans prendre en compte vos capacités réelles.</t>
        </is>
      </c>
      <c r="W35" s="53">
        <f>IF(N35&gt;0,"F","T")</f>
        <v/>
      </c>
    </row>
    <row r="36" ht="144" customHeight="1">
      <c r="A36" s="22" t="n">
        <v>33</v>
      </c>
      <c r="B36" s="17" t="n"/>
      <c r="C36" s="1" t="inlineStr">
        <is>
          <t>La gestion des risques</t>
        </is>
      </c>
      <c r="D36" s="1" t="inlineStr">
        <is>
          <t>Management de projet</t>
        </is>
      </c>
      <c r="E36" s="1" t="inlineStr">
        <is>
          <t>Prise de décision (T-pensée ou F-sentiment)</t>
        </is>
      </c>
      <c r="F36" s="36" t="inlineStr">
        <is>
          <t>Capacité à lister et évaluer les scénarios problématiques et trouver des solutions pouvant les résoudre.</t>
        </is>
      </c>
      <c r="G36" s="42" t="inlineStr">
        <is>
          <t>Lorsque l'on met en place un projet, quel qu’il soit, que faut-il prendre en compte en premier lieu ?</t>
        </is>
      </c>
      <c r="H36" s="1" t="inlineStr">
        <is>
          <t>Les divers évènements qui pourraient faire en sorte que le projet soit annulé.</t>
        </is>
      </c>
      <c r="I36" s="1" t="inlineStr">
        <is>
          <t>Avoir un plan de secours pour chaque imprévu.</t>
        </is>
      </c>
      <c r="J36" s="1" t="inlineStr">
        <is>
          <t>Que la qualité de l'évènement soit bien au rendez-vous.</t>
        </is>
      </c>
      <c r="K36" s="1" t="inlineStr">
        <is>
          <t>L’avis des participants, car l'essentiel c'est que ça leurs plaise.</t>
        </is>
      </c>
      <c r="L36" s="46" t="n"/>
      <c r="M36" s="38">
        <f>_xlfn.XLOOKUP(L36,'Questionnaire '!$R$2:$U$2,'Questionnaire '!$R36:$U36)</f>
        <v/>
      </c>
      <c r="N36" s="15">
        <f>IF(L36="A",2,IF(L36="B",1,0))</f>
        <v/>
      </c>
      <c r="O36" s="15" t="inlineStr">
        <is>
          <t>Soft skills</t>
        </is>
      </c>
      <c r="P36" s="48">
        <f>IF(N36&gt;=1,"","À développer")</f>
        <v/>
      </c>
      <c r="Q36" s="48" t="n"/>
      <c r="R36" s="24" t="inlineStr">
        <is>
          <t>Vous préférez prévoir les évènements néfastes d’un projet avant de le commencer, par peur de ne pas le mener à bien.</t>
        </is>
      </c>
      <c r="S36" s="24" t="inlineStr">
        <is>
          <t>Vous préférez prévoir les évènements néfastes d’un projet avant de le commencer, par peur de ne pas le mener à bien.</t>
        </is>
      </c>
      <c r="T36" s="24" t="inlineStr">
        <is>
          <t>Vous n'êtes pas du genre à vouloir prévoir les évènements nuisibles. Vous préférez réagir aux conséquences que les prévenir.</t>
        </is>
      </c>
      <c r="U36" s="24" t="inlineStr">
        <is>
          <t>Vous n'êtes pas du genre à vouloir prévoir les évènements nuisibles. Vous préférez réagir aux conséquences que les prévenir.</t>
        </is>
      </c>
      <c r="W36" s="53">
        <f>IF(N36&gt;0,"F","T")</f>
        <v/>
      </c>
    </row>
    <row r="37" ht="244.8" customHeight="1">
      <c r="A37" s="22" t="n">
        <v>34</v>
      </c>
      <c r="B37" s="17" t="n"/>
      <c r="C37" s="1" t="inlineStr">
        <is>
          <t>La prise de décision</t>
        </is>
      </c>
      <c r="D37" s="1" t="inlineStr">
        <is>
          <t>Management de projet</t>
        </is>
      </c>
      <c r="E37" s="1" t="inlineStr">
        <is>
          <t>Prise de décision (T-pensée ou F-sentiment)</t>
        </is>
      </c>
      <c r="F37" s="36" t="inlineStr">
        <is>
          <t>Aptitude à effectuer un choix entre plusieurs modalités d'actions possibles lors de la confrontation à un problème.</t>
        </is>
      </c>
      <c r="G37" s="42" t="inlineStr">
        <is>
          <t>Il reste 3 mois à vivre à une personne que vous aimez. Un médecin propose une solution qui pourrait prolonger sa vie de 10 ans en cas de réussite, ou le tuer en cas d'échec.</t>
        </is>
      </c>
      <c r="H37" s="1" t="inlineStr">
        <is>
          <t>Vous lisez toutes les études disponibles sur l'opération, évaluez les risques et bénéfices, puis prenez votre décision de façon éclairée.</t>
        </is>
      </c>
      <c r="I37" s="1" t="inlineStr">
        <is>
          <t>Vous prenez la décision de mettre en place la solution, car face à l'urgence, il vaut mieux agir que d'attendre.</t>
        </is>
      </c>
      <c r="J37" s="1" t="inlineStr">
        <is>
          <t>Vous réunissez les proches pour décider collectivement, car une telle décision ne doit pas reposer sur une seule personne.</t>
        </is>
      </c>
      <c r="K37" s="1" t="inlineStr">
        <is>
          <t>Vous ne parvenez pas à prendre de décision, car l'enjeu est trop lourd à porter.</t>
        </is>
      </c>
      <c r="L37" s="46" t="n"/>
      <c r="M37" s="38">
        <f>_xlfn.XLOOKUP(L37,'Questionnaire '!$R$2:$U$2,'Questionnaire '!$R37:$U37)</f>
        <v/>
      </c>
      <c r="N37" s="15">
        <f>IF(L37="A",2,IF(L37="B",1,0))</f>
        <v/>
      </c>
      <c r="O37" s="48" t="inlineStr">
        <is>
          <t>Soft skills</t>
        </is>
      </c>
      <c r="P37" s="48">
        <f>IF(N37&gt;=1,"","À développer")</f>
        <v/>
      </c>
      <c r="Q37" s="48" t="n"/>
      <c r="R37" s="24" t="inlineStr">
        <is>
          <t>Vous prenez vos décisions difficiles avec rigueur et méthode. Vous vous informez avant d'agir, même sous pression.</t>
        </is>
      </c>
      <c r="S37" s="24" t="inlineStr">
        <is>
          <t>Vous savez prendre des décisions difficiles et les assumer, même quand elles comportent une part d'incertitude.</t>
        </is>
      </c>
      <c r="T37" s="24" t="inlineStr">
        <is>
          <t>Vous avez du mal à prendre seul des décisions difficiles. Vous cherchez à diluer la responsabilité.</t>
        </is>
      </c>
      <c r="U37" s="24" t="inlineStr">
        <is>
          <t>Vous avez des difficultés à prendre des décisions sous pression. La peur de vous tromper vous paralyse.</t>
        </is>
      </c>
      <c r="W37" s="53">
        <f>IF(N37&gt;0,"F","T")</f>
        <v/>
      </c>
    </row>
    <row r="38" ht="129.6" customHeight="1">
      <c r="A38" s="22" t="n">
        <v>35</v>
      </c>
      <c r="B38" s="1" t="n"/>
      <c r="C38" s="1" t="inlineStr">
        <is>
          <t>La supervision</t>
        </is>
      </c>
      <c r="D38" s="1" t="inlineStr">
        <is>
          <t>Management de projet</t>
        </is>
      </c>
      <c r="E38" s="1" t="inlineStr">
        <is>
          <t>Mode d'action ou style de vie (J-Organisation ou P-perception)</t>
        </is>
      </c>
      <c r="F38" s="36" t="inlineStr">
        <is>
          <t>Capacité à exercer un contrôle et à effectuer une vérification sur l'activité ou le travail d'une ou plusieurs personnes.</t>
        </is>
      </c>
      <c r="G38" s="42" t="inlineStr">
        <is>
          <t>Lorsque vous effectuez un travail de groupe, ce que vous préférez c'est :</t>
        </is>
      </c>
      <c r="H38" s="10" t="inlineStr">
        <is>
          <t>Etablir des outils qui permettront de contrôler l'avancée des travaux.</t>
        </is>
      </c>
      <c r="I38" s="10" t="inlineStr">
        <is>
          <t xml:space="preserve">Vérifier au fur et à mesure que les tâches ont bien été réalisées </t>
        </is>
      </c>
      <c r="J38" s="10" t="inlineStr">
        <is>
          <t>Terminer vite, contrôler la qualité, et ensuite tout corriger.</t>
        </is>
      </c>
      <c r="K38" s="10" t="inlineStr">
        <is>
          <t>Réaliser en premier lieu les tâches qui vous plaisent le plus et les autres ensuite.</t>
        </is>
      </c>
      <c r="L38" s="46" t="n"/>
      <c r="M38" s="38">
        <f>_xlfn.XLOOKUP(L38,'Questionnaire '!$R$2:$U$2,'Questionnaire '!$R38:$U38)</f>
        <v/>
      </c>
      <c r="N38" s="15">
        <f>IF(L38="A",2,IF(L38="B",1,0))</f>
        <v/>
      </c>
      <c r="O38" s="48" t="inlineStr">
        <is>
          <t>Soft skills</t>
        </is>
      </c>
      <c r="P38" s="48">
        <f>IF(N38&gt;=1,"","À développer")</f>
        <v/>
      </c>
      <c r="Q38" s="48" t="n"/>
      <c r="R38" s="25" t="inlineStr">
        <is>
          <t>Vous aimez superviser et surveiller les activités ou les tâches qui doivent être réalisées.</t>
        </is>
      </c>
      <c r="S38" s="24" t="inlineStr">
        <is>
          <t>Lorsque vous travaillez en groupe, vous aimez contrôler régulièrement l'avancée des travaux. vous avez un attrait pour la supervision.</t>
        </is>
      </c>
      <c r="T38" s="25" t="inlineStr">
        <is>
          <t>Dans un travail de groupe, vous vous concentrez plus sur votre travail que celui des autres. Vous n'aimez pas contrôler et surveiller.</t>
        </is>
      </c>
      <c r="U38" s="25" t="inlineStr">
        <is>
          <t>Dans un travail de groupe, vous vous concentrez plus sur votre travail que celui des autres. Vous n'aimez pas contrôler et surveiller.</t>
        </is>
      </c>
      <c r="W38" s="53">
        <f>IF(N38&gt;0,"N","S")</f>
        <v/>
      </c>
    </row>
    <row r="39" ht="100.8" customHeight="1">
      <c r="A39" s="22" t="n">
        <v>36</v>
      </c>
      <c r="B39" s="1" t="n"/>
      <c r="C39" s="1" t="inlineStr">
        <is>
          <t>L'agilité cognitive</t>
        </is>
      </c>
      <c r="D39" s="1" t="inlineStr">
        <is>
          <t>Management de projet</t>
        </is>
      </c>
      <c r="E39" s="1" t="inlineStr">
        <is>
          <t>Mode d'action ou style de vie (J-Organisation ou P-perception)</t>
        </is>
      </c>
      <c r="F39" s="36" t="inlineStr">
        <is>
          <t>Aptitude à s'adapter facilement aux changements et à réagir aux problématiques qui ne répondent pas à notre mode de fonctionnement mental.</t>
        </is>
      </c>
      <c r="G39" s="42" t="inlineStr">
        <is>
          <t>Imaginons que vous êtes en train de jouer à un jeu de société avec des amis. D'un coup, toutes les règles établies sont modifiées. Comment réagissez-vous ?</t>
        </is>
      </c>
      <c r="H39" s="1" t="inlineStr">
        <is>
          <t>J'arrête de jouer car il n'est pas normal de changer les règles en cours de jeu.</t>
        </is>
      </c>
      <c r="I39" s="1" t="inlineStr">
        <is>
          <t>Ce changement me perturbe et m’énerve au plus haut point. Je ne sais pas quoi faire.</t>
        </is>
      </c>
      <c r="J39" s="1" t="inlineStr">
        <is>
          <t>Je lis les nouvelles règles du jeu et j'essaie de gagner quand même.</t>
        </is>
      </c>
      <c r="K39" s="1" t="inlineStr">
        <is>
          <t>Je continue à jouer car ça pourra être amusant.</t>
        </is>
      </c>
      <c r="L39" s="46" t="n"/>
      <c r="M39" s="38">
        <f>_xlfn.XLOOKUP(L39,'Questionnaire '!$R$2:$U$2,'Questionnaire '!$R39:$U39)</f>
        <v/>
      </c>
      <c r="N39" s="15">
        <f>IF(L39="C",2,IF(L39="D",1,0))</f>
        <v/>
      </c>
      <c r="O39" s="48" t="inlineStr">
        <is>
          <t>Soft skills</t>
        </is>
      </c>
      <c r="P39" s="48">
        <f>IF(N39&gt;=1,"","À développer")</f>
        <v/>
      </c>
      <c r="Q39" s="48" t="n"/>
      <c r="R39" s="24" t="inlineStr">
        <is>
          <t>Vous détestez être pris de court. Vous avez d'ailleurs du mal à gérer émotionnellement avec les évènements imprévus.</t>
        </is>
      </c>
      <c r="S39" s="24" t="inlineStr">
        <is>
          <t>Vous détestez être pris de court. Vous avez d'ailleurs du mal à gérer émotionnellement avec les évènements imprévus.</t>
        </is>
      </c>
      <c r="T39" s="24" t="inlineStr">
        <is>
          <t>Vous n'êtes pas perturbé par l'apparition d'évènements imprévus.</t>
        </is>
      </c>
      <c r="U39" s="24" t="inlineStr">
        <is>
          <t>Vous n'êtes pas perturbé par l'apparition d'évènements imprévus. Vous les trouvez parfois galvanisant.</t>
        </is>
      </c>
      <c r="W39" s="53">
        <f>IF(N39&gt;0,"N","S")</f>
        <v/>
      </c>
    </row>
    <row r="40" ht="144" customHeight="1">
      <c r="A40" s="22" t="n">
        <v>37</v>
      </c>
      <c r="B40" s="17" t="n"/>
      <c r="C40" s="1" t="inlineStr">
        <is>
          <t>Équité</t>
        </is>
      </c>
      <c r="D40" s="1" t="inlineStr">
        <is>
          <t>Management et gestion d'équipe</t>
        </is>
      </c>
      <c r="E40" s="1" t="inlineStr">
        <is>
          <t>Prise de décision (T-pensée ou F-sentiment)</t>
        </is>
      </c>
      <c r="F40" s="36" t="inlineStr">
        <is>
          <t>Capacité à traiter les situations et les individus de manière juste et impartiale, sans parti pris.</t>
        </is>
      </c>
      <c r="G40" s="42" t="inlineStr">
        <is>
          <t xml:space="preserve">Comment pensez-vous que les richesses du monde devraient être réparties ?
</t>
        </is>
      </c>
      <c r="H40" s="1" t="inlineStr">
        <is>
          <t>Les pays riches devraient aider les pays pauvres.</t>
        </is>
      </c>
      <c r="I40" s="1" t="inlineStr">
        <is>
          <t>Tout le monde devrait avoir assez pour vivre correctement.</t>
        </is>
      </c>
      <c r="J40" s="1" t="inlineStr">
        <is>
          <t>Je pense que la répartition des richesses est un reflet de la compétence et du talent individuel, et qu'il n'est pas nécessaire d'ajuster le système.</t>
        </is>
      </c>
      <c r="K40" s="1" t="inlineStr">
        <is>
          <t>Je ne crois pas qu'il soit nécessaire de redistribuer les richesses du monde ; si certains pays ou personnes sont plus riches, c'est parce qu'ils ont travaillé plus dur pour l'être.</t>
        </is>
      </c>
      <c r="L40" s="46" t="n"/>
      <c r="M40" s="38">
        <f>_xlfn.XLOOKUP(L40,'Questionnaire '!$R$2:$U$2,'Questionnaire '!$R40:$U40)</f>
        <v/>
      </c>
      <c r="N40" s="15">
        <f>IF(L40="A",2,IF(L40="B",1,0))</f>
        <v/>
      </c>
      <c r="O40" s="1" t="inlineStr">
        <is>
          <t>Soft skills</t>
        </is>
      </c>
      <c r="P40" s="48">
        <f>IF(N40&gt;=1,"","À développer")</f>
        <v/>
      </c>
      <c r="Q40" s="48" t="n"/>
      <c r="R40" s="24" t="inlineStr">
        <is>
          <t>Vous cherchez à être équitable dans vos choix et décisions. Surtout quand cela peut impacter la vie des gens.</t>
        </is>
      </c>
      <c r="S40" s="24" t="inlineStr">
        <is>
          <t>Vous cherchez à être équitable dans vos choix et décisions. Surtout quand cela peut impacter la vie des gens.</t>
        </is>
      </c>
      <c r="T40" s="24" t="inlineStr">
        <is>
          <t>Vous recherchez plus l'égalité de traitement à l'équité de traitement. Vous aimez que tout le monde soit traité de la même façon, peu importe leur condition.</t>
        </is>
      </c>
      <c r="U40" s="24" t="inlineStr">
        <is>
          <t>Vous recherchez plus l'égalité de traitement à l'équité de traitement. Vous aimez que tout le monde soit traité de la même façon, peu importe leur condition.</t>
        </is>
      </c>
      <c r="W40" s="53">
        <f>IF(N40&gt;0,"F","T")</f>
        <v/>
      </c>
    </row>
    <row r="41" ht="144" customHeight="1">
      <c r="A41" s="22" t="n">
        <v>38</v>
      </c>
      <c r="B41" s="17" t="n"/>
      <c r="C41" s="1" t="inlineStr">
        <is>
          <t>Gérer et résoudre les conflits</t>
        </is>
      </c>
      <c r="D41" s="1" t="inlineStr">
        <is>
          <t>Management et gestion d'équipe</t>
        </is>
      </c>
      <c r="E41" s="1" t="inlineStr">
        <is>
          <t>Prise de décision (T-pensée ou F-sentiment)</t>
        </is>
      </c>
      <c r="F41" s="36" t="inlineStr">
        <is>
          <t>Capacité à être médiateur et trouver les solutions aux situations de tension entre deux ou plusieurs individus.</t>
        </is>
      </c>
      <c r="G41" s="42" t="inlineStr">
        <is>
          <t>Lorsque deux personnes que vous connaissez sont en conflit, vous avez tendance à :</t>
        </is>
      </c>
      <c r="H41" s="1" t="inlineStr">
        <is>
          <t>Vous cherchez l'origine du conflit, vous comprenez les deux points de vue et vous proposez une solution concrète.</t>
        </is>
      </c>
      <c r="I41" s="1" t="inlineStr">
        <is>
          <t>Vous mettez en place une médiation pour que les deux parties puissent s'exprimer calmement et trouver un terrain d'entente.</t>
        </is>
      </c>
      <c r="J41" s="1" t="inlineStr">
        <is>
          <t>Vous préférez ne pas intervenir par peur que cela vous retombe dessus.</t>
        </is>
      </c>
      <c r="K41" s="1" t="inlineStr">
        <is>
          <t>Vous ne vous impliquez pas, car vous craignez d'aggraver la situation.</t>
        </is>
      </c>
      <c r="L41" s="46" t="n"/>
      <c r="M41" s="38">
        <f>_xlfn.XLOOKUP(L41,'Questionnaire '!$R$2:$U$2,'Questionnaire '!$R41:$U41)</f>
        <v/>
      </c>
      <c r="N41" s="15">
        <f>IF(L41="A",2,IF(L41="B",1,0))</f>
        <v/>
      </c>
      <c r="O41" s="6" t="inlineStr">
        <is>
          <t>Soft skills</t>
        </is>
      </c>
      <c r="P41" s="48">
        <f>IF(N41&gt;=1,"","À développer")</f>
        <v/>
      </c>
      <c r="Q41" s="48" t="n"/>
      <c r="R41" s="24" t="inlineStr">
        <is>
          <t>Vous gérez les conflits avec efficacité. Vous analysez la situation et proposez des solutions concrètes.</t>
        </is>
      </c>
      <c r="S41" s="24" t="inlineStr">
        <is>
          <t>Vous savez gérer les conflits en facilitant le dialogue entre les parties concernées.</t>
        </is>
      </c>
      <c r="T41" s="24" t="inlineStr">
        <is>
          <t>Vous évitez les conflits par peur des répercussions. Vous manquez d'initiative dans ce domaine.</t>
        </is>
      </c>
      <c r="U41" s="24" t="inlineStr">
        <is>
          <t>Vous ne savez pas gérer les conflits et préférez vous en tenir à l'écart.</t>
        </is>
      </c>
      <c r="W41" s="53">
        <f>IF(N41&gt;0,"F","T")</f>
        <v/>
      </c>
    </row>
    <row r="42" ht="172.8" customHeight="1">
      <c r="A42" s="22" t="n">
        <v>39</v>
      </c>
      <c r="B42" s="17" t="n"/>
      <c r="C42" s="1" t="inlineStr">
        <is>
          <t>Inclusivité</t>
        </is>
      </c>
      <c r="D42" s="1" t="inlineStr">
        <is>
          <t>Management et gestion d'équipe</t>
        </is>
      </c>
      <c r="E42" s="1" t="inlineStr">
        <is>
          <t>Energie (E-extraverti ou I-Introverti)</t>
        </is>
      </c>
      <c r="F42" s="36" t="inlineStr">
        <is>
          <t>Aptitude à intégrer facilement un individu à un groupe. C'est différent de l'exclusion.</t>
        </is>
      </c>
      <c r="G42" s="42" t="inlineStr">
        <is>
          <t>Vous êtes dans une soirée en appartement, vous remarquez qu'un(e) des invité(e)s est seul(e) dans son coin :</t>
        </is>
      </c>
      <c r="H42" s="1" t="inlineStr">
        <is>
          <t>Vous allez le/la chercher pour l'intégrer à votre groupe de discussion.</t>
        </is>
      </c>
      <c r="I42" s="1" t="inlineStr">
        <is>
          <t>Vous allez lui parler pour qu'il/elle se sente moins seul(e).</t>
        </is>
      </c>
      <c r="J42" s="1" t="inlineStr">
        <is>
          <t>Vous le/la laissez dans son coin il/elle se fera des amis par il/elle-même.</t>
        </is>
      </c>
      <c r="K42" s="1" t="inlineStr">
        <is>
          <t>Vous faites comme si vous ne l'avez pas vu.</t>
        </is>
      </c>
      <c r="L42" s="46" t="n"/>
      <c r="M42" s="38">
        <f>_xlfn.XLOOKUP(L42,'Questionnaire '!$R$2:$U$2,'Questionnaire '!$R42:$U42)</f>
        <v/>
      </c>
      <c r="N42" s="15">
        <f>IF(L42="A",2,IF(L42="B",1,0))</f>
        <v/>
      </c>
      <c r="O42" s="1" t="inlineStr">
        <is>
          <t>Soft skills</t>
        </is>
      </c>
      <c r="P42" s="48">
        <f>IF(N42&gt;=1,"","À développer")</f>
        <v/>
      </c>
      <c r="Q42" s="48" t="n"/>
      <c r="R42" s="24" t="inlineStr">
        <is>
          <t>Vous n'aimez pas l'exclusion. Vous avez tendance à inclure les gens dans votre groupe si vous les sentez seuls ou isolés.</t>
        </is>
      </c>
      <c r="S42" s="24" t="inlineStr">
        <is>
          <t>Vous n'aimez pas l'exclusion. Vous avez tendance à inclure les gens dans votre groupe si vous les sentez seuls ou isolés.</t>
        </is>
      </c>
      <c r="T42" s="24" t="inlineStr">
        <is>
          <t>Vous n'êtes pas du genre à vouloir inclure des gens dans votre groupe si vous estimez qu'ils ne vous apporteront rien.</t>
        </is>
      </c>
      <c r="U42" s="24" t="inlineStr">
        <is>
          <t>Vous n'êtes pas du genre à vouloir inclure des gens dans votre groupe si vous estimez qu'ils ne vous apporteront rien.</t>
        </is>
      </c>
      <c r="W42" s="53">
        <f>IF(N42&gt;0,"E","I")</f>
        <v/>
      </c>
    </row>
    <row r="43" ht="129.6" customHeight="1">
      <c r="A43" s="22" t="n">
        <v>40</v>
      </c>
      <c r="B43" s="1" t="inlineStr">
        <is>
          <t>Etats d'esprit et attitude</t>
        </is>
      </c>
      <c r="C43" s="1" t="inlineStr">
        <is>
          <t>L’esprit d’initiative</t>
        </is>
      </c>
      <c r="D43" s="1" t="inlineStr">
        <is>
          <t>Management et gestion d'équipe</t>
        </is>
      </c>
      <c r="E43" s="1" t="inlineStr">
        <is>
          <t>Mode d'action ou style de vie (J-Organisation ou P-perception)</t>
        </is>
      </c>
      <c r="F43" s="36" t="inlineStr">
        <is>
          <t>Capacité à entreprendre des actions sans que l'on y soit poussé.</t>
        </is>
      </c>
      <c r="G43" s="42" t="inlineStr">
        <is>
          <t>Vous êtes en face d'un travail qui nécessite une compétence que vous n'avez pas, allez-vous chercher à le réaliser quand même ?</t>
        </is>
      </c>
      <c r="H43" s="1" t="inlineStr">
        <is>
          <t>Non, car le travail sera mal réalisé.</t>
        </is>
      </c>
      <c r="I43" s="1" t="inlineStr">
        <is>
          <t>Non, sauf si un expert peut m'aider.</t>
        </is>
      </c>
      <c r="J43" s="1" t="inlineStr">
        <is>
          <t>Oui et je vais m'autoformer grâce à internet.</t>
        </is>
      </c>
      <c r="K43" s="1" t="inlineStr">
        <is>
          <t>Oui, et je m'adapterai au fur et à mesure.</t>
        </is>
      </c>
      <c r="L43" s="46" t="n"/>
      <c r="M43" s="38">
        <f>_xlfn.XLOOKUP(L43,'Questionnaire '!$R$2:$U$2,'Questionnaire '!$R43:$U43)</f>
        <v/>
      </c>
      <c r="N43" s="15">
        <f>IF(L43="C",2,IF(L43="D",1,0))</f>
        <v/>
      </c>
      <c r="O43" s="1" t="inlineStr">
        <is>
          <t>Soft skills</t>
        </is>
      </c>
      <c r="P43" s="48">
        <f>IF(N43&gt;=1,"","À développer")</f>
        <v/>
      </c>
      <c r="Q43" s="48" t="n"/>
      <c r="R43" s="24" t="inlineStr">
        <is>
          <t>Vous pouvez parfois manquer d'esprit d'initiative.</t>
        </is>
      </c>
      <c r="S43" s="24" t="inlineStr">
        <is>
          <t>Vous pouvez parfois manquer d'esprit d'initiative.</t>
        </is>
      </c>
      <c r="T43" s="24" t="inlineStr">
        <is>
          <t>Vous avez un esprit d'initiative développé.</t>
        </is>
      </c>
      <c r="U43" s="24" t="inlineStr">
        <is>
          <t>Vous avez un esprit d'initiative développé, et êtes courageux dans ce que vous entreprenez.</t>
        </is>
      </c>
      <c r="W43" s="53">
        <f>IF(N43&gt;0,"N","S")</f>
        <v/>
      </c>
    </row>
    <row r="44" ht="144" customHeight="1">
      <c r="A44" s="22" t="n">
        <v>41</v>
      </c>
      <c r="B44" s="17" t="n"/>
      <c r="C44" s="1" t="inlineStr">
        <is>
          <t>Le coaching des autres</t>
        </is>
      </c>
      <c r="D44" s="1" t="inlineStr">
        <is>
          <t>Management et gestion d'équipe</t>
        </is>
      </c>
      <c r="E44" s="1" t="inlineStr">
        <is>
          <t>Energie (E-extraverti ou I-Introverti)</t>
        </is>
      </c>
      <c r="F44" s="36" t="inlineStr">
        <is>
          <t>Capacité à stimuler l'intérêt des autres sur un sujet, une mission, un travail et faire ressortir le meilleur d'eux même.</t>
        </is>
      </c>
      <c r="G44" s="42" t="inlineStr">
        <is>
          <t>Vous remarquez qu’un membre de votre groupe de travail a du mal à réaliser les travaux qui lui sont confiés.</t>
        </is>
      </c>
      <c r="H44" s="1" t="inlineStr">
        <is>
          <t>Vous cherchez d'abord à comprendre ses difficultés, puis vous l'accompagnez avec une formation adaptée pour qu'il progresse durablement.</t>
        </is>
      </c>
      <c r="I44" s="1" t="inlineStr">
        <is>
          <t>Vous prenez le temps de comprendre pourquoi il bloque et vous lui prodiguez des conseils ciblés pour l'aider à avancer.</t>
        </is>
      </c>
      <c r="J44" s="1" t="inlineStr">
        <is>
          <t>Vous le laissez trouver les solutions par lui-même, car c'est en cherchant qu'on apprend.</t>
        </is>
      </c>
      <c r="K44" s="1" t="inlineStr">
        <is>
          <t>Vous prenez en charge les travaux vous-même pour éviter de perdre du temps.</t>
        </is>
      </c>
      <c r="L44" s="46" t="n"/>
      <c r="M44" s="38">
        <f>_xlfn.XLOOKUP(L44,'Questionnaire '!$R$2:$U$2,'Questionnaire '!$R44:$U44)</f>
        <v/>
      </c>
      <c r="N44" s="15">
        <f>IF(L44="A",2,IF(L44="B",1,0))</f>
        <v/>
      </c>
      <c r="O44" s="1" t="inlineStr">
        <is>
          <t>Soft skills</t>
        </is>
      </c>
      <c r="P44" s="48">
        <f>IF(N44&gt;=1,"","À développer")</f>
        <v/>
      </c>
      <c r="Q44" s="48" t="n"/>
      <c r="R44" s="24" t="inlineStr">
        <is>
          <t>Vous êtes un excellent coach. Vous diagnostiquez les difficultés et accompagnez les autres vers une progression durable.</t>
        </is>
      </c>
      <c r="S44" s="24" t="inlineStr">
        <is>
          <t>Vous aimez aider les autres à progresser en leur donnant des conseils pertinents et adaptés.</t>
        </is>
      </c>
      <c r="T44" s="24" t="inlineStr">
        <is>
          <t>Vous croyez en l'apprentissage autonome, mais vous pouvez manquer de soutien envers ceux qui ont besoin d'aide.</t>
        </is>
      </c>
      <c r="U44" s="24" t="inlineStr">
        <is>
          <t>Vous préférez faire à la place des autres plutôt que de les aider à progresser. Le coaching n'est pas votre priorité.</t>
        </is>
      </c>
      <c r="W44" s="53">
        <f>IF(N44&gt;0,"E","I")</f>
        <v/>
      </c>
    </row>
    <row r="45" ht="158.4" customHeight="1">
      <c r="A45" s="22" t="n">
        <v>42</v>
      </c>
      <c r="B45" s="10" t="n"/>
      <c r="C45" s="1" t="inlineStr">
        <is>
          <t>Leadership</t>
        </is>
      </c>
      <c r="D45" s="1" t="inlineStr">
        <is>
          <t>Management et gestion d'équipe</t>
        </is>
      </c>
      <c r="E45" s="1" t="inlineStr">
        <is>
          <t>Mode d'action ou style de vie (J-Organisation ou P-perception)</t>
        </is>
      </c>
      <c r="F45" s="36" t="inlineStr">
        <is>
          <t>Capacité à réunir et diriger plusieurs individus sans utiliser la force, pour mener à bien un projet ou une action.</t>
        </is>
      </c>
      <c r="G45" s="42" t="inlineStr">
        <is>
          <t>Lorsque vous êtes dans un groupe de travail, vous êtes celui :</t>
        </is>
      </c>
      <c r="H45" s="1" t="inlineStr">
        <is>
          <t>qu'on laisse prendre la direction du groupe pour montrer la direction à suivre.</t>
        </is>
      </c>
      <c r="I45" s="1" t="inlineStr">
        <is>
          <t>dont les idées sont écoutées et réalisées.</t>
        </is>
      </c>
      <c r="J45" s="1" t="inlineStr">
        <is>
          <t>qui va suivre le plan de manière rigoureuse, pour que tout se passe bien.</t>
        </is>
      </c>
      <c r="K45" s="1" t="inlineStr">
        <is>
          <t>qui écoute ce que les gens ont à dire d'intéressant sans s'imposer.</t>
        </is>
      </c>
      <c r="L45" s="46" t="n"/>
      <c r="M45" s="38">
        <f>_xlfn.XLOOKUP(L45,'Questionnaire '!$R$2:$U$2,'Questionnaire '!$R45:$U45)</f>
        <v/>
      </c>
      <c r="N45" s="15">
        <f>IF(L45="A",2,IF(L45="B",1,0))</f>
        <v/>
      </c>
      <c r="O45" s="1" t="inlineStr">
        <is>
          <t>Soft skills</t>
        </is>
      </c>
      <c r="P45" s="48">
        <f>IF(N45&gt;=1,"","À développer")</f>
        <v/>
      </c>
      <c r="Q45" s="48" t="n"/>
      <c r="R45" s="24" t="inlineStr">
        <is>
          <t>Vous aimez prendre le lead quand un projet doit se mettre en place. Vous aimez montrer la voie à suivre.</t>
        </is>
      </c>
      <c r="S45" s="24" t="inlineStr">
        <is>
          <t>Vous aimez prendre le lead quand un projet doit se mettre en place. Vous aimez montrer la voie à suivre.</t>
        </is>
      </c>
      <c r="T45" s="24" t="inlineStr">
        <is>
          <t>Vous n'aimez pas prendre le lead même quand vous le pouvez. Vous préférez laisser ça aux autres.</t>
        </is>
      </c>
      <c r="U45" s="24" t="inlineStr">
        <is>
          <t>Vous n'aimez pas prendre le lead même quand vous le pouvez. Vous préférez laisser ça aux autres.</t>
        </is>
      </c>
      <c r="W45" s="53">
        <f>IF(N45&gt;0,"N","S")</f>
        <v/>
      </c>
    </row>
    <row r="46" ht="216" customHeight="1">
      <c r="A46" s="22" t="n">
        <v>43</v>
      </c>
      <c r="B46" s="17" t="n"/>
      <c r="C46" s="1" t="inlineStr">
        <is>
          <t>L’auto-formation</t>
        </is>
      </c>
      <c r="D46" s="1" t="inlineStr">
        <is>
          <t>Organisation</t>
        </is>
      </c>
      <c r="E46" s="1" t="inlineStr">
        <is>
          <t>Mode d'action ou style de vie (J-Organisation ou P-perception)</t>
        </is>
      </c>
      <c r="F46" s="36" t="inlineStr">
        <is>
          <t>Capacité à se former sans aide extérieure d’un mentor, professeur ou guide</t>
        </is>
      </c>
      <c r="G46" s="42" t="inlineStr">
        <is>
          <t>Vous entendez parler d'un sujet intéressant qui n'est pas couvert par ton cursus scolaire ou par ta formation. Que faites-vous ?</t>
        </is>
      </c>
      <c r="H46" s="1" t="inlineStr">
        <is>
          <t>Je recherche des ressources en ligne, comme des cours, des vidéos, ou des articles pour en apprendre davantage par moi-même..</t>
        </is>
      </c>
      <c r="I46" s="1" t="inlineStr">
        <is>
          <t>J'emprunte ou j'achète des livres, je cherche des tutoriels en ligne pour approfondir mes connaissances sur le sujet.</t>
        </is>
      </c>
      <c r="J46" s="1" t="inlineStr">
        <is>
          <t>Je trouve ça intéressant, mais je ne vois pas l'intérêt d'en apprendre plus que ce que propose déjà ma formation..</t>
        </is>
      </c>
      <c r="K46" s="1" t="inlineStr">
        <is>
          <t>Je pense que c'est la responsabilité des enseignants de nous apprendre ces choses, donc pas besoin d'explorer davantage par moi-même...</t>
        </is>
      </c>
      <c r="L46" s="46" t="n"/>
      <c r="M46" s="38">
        <f>_xlfn.XLOOKUP(L46,'Questionnaire '!$R$2:$U$2,'Questionnaire '!$R46:$U46)</f>
        <v/>
      </c>
      <c r="N46" s="15">
        <f>IF(L46="A",2,IF(L46="B",1,0))</f>
        <v/>
      </c>
      <c r="O46" s="6" t="inlineStr">
        <is>
          <t>Soft skills</t>
        </is>
      </c>
      <c r="P46" s="48">
        <f>IF(N46&gt;=1,"","À développer")</f>
        <v/>
      </c>
      <c r="Q46" s="48" t="n"/>
      <c r="R46" s="24" t="inlineStr">
        <is>
          <t>Vous savez vous autoformer. Vous n'avez pas besoin d'aide extérieure pour apprendre. ou d'un professeur quand le besoin s'en ressent.</t>
        </is>
      </c>
      <c r="S46" s="24" t="inlineStr">
        <is>
          <t>Vous savez vous autoformer. Vous n'avez pas besoin d'aide extérieure pour apprendre. ou d'un professeur quand le besoin s'en ressent.</t>
        </is>
      </c>
      <c r="T46" s="24" t="inlineStr">
        <is>
          <t>Vous avez du mal à vous autoformer et préférez être accompagné(e) par un mentor ou un professeur..</t>
        </is>
      </c>
      <c r="U46" s="24" t="inlineStr">
        <is>
          <t>Vous avez du mal à vous autoformer et préférez être accompagné(e) par un mentor ou un professeur..</t>
        </is>
      </c>
      <c r="W46" s="53">
        <f>IF(N46&gt;0,"N","S")</f>
        <v/>
      </c>
    </row>
    <row r="47" ht="158.4" customHeight="1">
      <c r="A47" s="22" t="n">
        <v>44</v>
      </c>
      <c r="B47" s="1" t="n"/>
      <c r="C47" s="1" t="inlineStr">
        <is>
          <t>La concentration</t>
        </is>
      </c>
      <c r="D47" s="1" t="inlineStr">
        <is>
          <t>Organisation</t>
        </is>
      </c>
      <c r="E47" s="1" t="inlineStr">
        <is>
          <t>Mode d'action ou style de vie (J-Organisation ou P-perception)</t>
        </is>
      </c>
      <c r="F47" s="36" t="inlineStr">
        <is>
          <t>Capacité à focaliser son esprit sur une tâche, ou un sujet particulier sans diverger.</t>
        </is>
      </c>
      <c r="G47" s="42" t="inlineStr">
        <is>
          <t>Vous devez compléter une tâche longue et répétitive, et ennuyeuse. Comment maintenez-vous votre concentration tout au long de cette tâche ?</t>
        </is>
      </c>
      <c r="H47" s="1" t="inlineStr">
        <is>
          <t>Je me fixe des petits objectifs à atteindre et je prends de courtes pauses pour rester concentré et motivé.</t>
        </is>
      </c>
      <c r="I47" s="1" t="inlineStr">
        <is>
          <t>J'alterne entre cette tâche et d'autres activités plus stimulantes pour garder mon esprit alerte.</t>
        </is>
      </c>
      <c r="J47" s="1" t="inlineStr">
        <is>
          <t>Je trouve cela très difficile et je me laisse souvent distraire par d'autres choses, comme votre téléphone.</t>
        </is>
      </c>
      <c r="K47" s="1" t="inlineStr">
        <is>
          <t>J'ai tendance à procrastiner ou à éviter la tâche, car je la trouve trop ennuyeuse</t>
        </is>
      </c>
      <c r="L47" s="46" t="n"/>
      <c r="M47" s="38">
        <f>_xlfn.XLOOKUP(L47,'Questionnaire '!$R$2:$U$2,'Questionnaire '!$R47:$U47)</f>
        <v/>
      </c>
      <c r="N47" s="15">
        <f>IF(L47="A",2,IF(L47="B",1,0))</f>
        <v/>
      </c>
      <c r="O47" s="6" t="inlineStr">
        <is>
          <t>Soft skills</t>
        </is>
      </c>
      <c r="P47" s="48">
        <f>IF(N47&gt;=1,"","À développer")</f>
        <v/>
      </c>
      <c r="Q47" s="48" t="n"/>
      <c r="R47" s="24" t="inlineStr">
        <is>
          <t>Vous n’avez pas besoin d’apprécier une tâche ou une activité, afin de vous concentrer pleinement dessus.</t>
        </is>
      </c>
      <c r="S47" s="24" t="inlineStr">
        <is>
          <t>Vous n’avez pas besoin d’apprécier une tâche ou une activité, afin de vous concentrer pleinement dessus.</t>
        </is>
      </c>
      <c r="T47" s="24" t="inlineStr">
        <is>
          <t>Si une tâche ou une activité ne vous intéresse pas, il vous est difficile de rester longtemps concentré dessus.</t>
        </is>
      </c>
      <c r="U47" s="24" t="inlineStr">
        <is>
          <t>Si vous trouvez une tâche ou une activité ennuyeuse, vous aurez énormément de mal à vous concentrer dessus, peu importe son importance.</t>
        </is>
      </c>
      <c r="W47" s="53">
        <f>IF(N47&gt;0,"N","S")</f>
        <v/>
      </c>
    </row>
    <row r="48" ht="172.8" customHeight="1">
      <c r="A48" s="22" t="n">
        <v>45</v>
      </c>
      <c r="B48" s="1" t="n"/>
      <c r="C48" s="1" t="inlineStr">
        <is>
          <t>La gestion du temps</t>
        </is>
      </c>
      <c r="D48" s="1" t="inlineStr">
        <is>
          <t>Organisation</t>
        </is>
      </c>
      <c r="E48" s="1" t="inlineStr">
        <is>
          <t>Mode d'action ou style de vie (J-Organisation ou P-perception)</t>
        </is>
      </c>
      <c r="F48" s="36" t="inlineStr">
        <is>
          <t>Capacité à organiser ce que l’on entreprend afin de respecter les délais accordés.</t>
        </is>
      </c>
      <c r="G48" s="42" t="inlineStr">
        <is>
          <t>Vous devez rendre un travail dans plusieurs mois, vous préférez :</t>
        </is>
      </c>
      <c r="H48" s="1" t="inlineStr">
        <is>
          <t>Vous organiser de façon à ce que vous puissiez travailler chaque jour dessus. À un rythme régulier.</t>
        </is>
      </c>
      <c r="I48" s="1" t="inlineStr">
        <is>
          <t>Identifier les tâches les plus simples et les réaliser rapidement pour pouvoir prendre plus de temps sur les autres.</t>
        </is>
      </c>
      <c r="J48" s="1" t="inlineStr">
        <is>
          <t>Réaliser le travail en fonction de votre motivation du jour.</t>
        </is>
      </c>
      <c r="K48" s="1" t="inlineStr">
        <is>
          <t>Attendre le dernier moment pour le réaliser, car c'est là que vous êtes le plus performant.</t>
        </is>
      </c>
      <c r="L48" s="46" t="n"/>
      <c r="M48" s="38">
        <f>_xlfn.XLOOKUP(L48,'Questionnaire '!$R$2:$U$2,'Questionnaire '!$R48:$U48)</f>
        <v/>
      </c>
      <c r="N48" s="15">
        <f>IF(L48="A",2,IF(L48="B",1,0))</f>
        <v/>
      </c>
      <c r="O48" s="1" t="inlineStr">
        <is>
          <t>Soft skills</t>
        </is>
      </c>
      <c r="P48" s="48">
        <f>IF(N48&gt;=1,"","À développer")</f>
        <v/>
      </c>
      <c r="Q48" s="48" t="n"/>
      <c r="R48" s="24" t="inlineStr">
        <is>
          <t>Vous aimez gérer votre temps correctement et prendre de l'avance sur les activités.</t>
        </is>
      </c>
      <c r="S48" s="24" t="inlineStr">
        <is>
          <t>Vous aimez gérer votre temps correctement et prendre de l'avance sur les activités.</t>
        </is>
      </c>
      <c r="T48" s="26" t="inlineStr">
        <is>
          <t>Vous avez du mal à gérer votre temps correctement, lorsque vous entreprenez quelque chose.</t>
        </is>
      </c>
      <c r="U48" s="24" t="inlineStr">
        <is>
          <t>Vous avez du mal à gérer votre temps correctement, lorsque vous entreprenez quelque chose.</t>
        </is>
      </c>
      <c r="W48" s="53">
        <f>IF(N48&gt;0,"N","S")</f>
        <v/>
      </c>
    </row>
    <row r="49" ht="201.6" customHeight="1">
      <c r="A49" s="22" t="n">
        <v>46</v>
      </c>
      <c r="B49" s="1" t="n"/>
      <c r="C49" s="1" t="inlineStr">
        <is>
          <t>La planification</t>
        </is>
      </c>
      <c r="D49" s="1" t="inlineStr">
        <is>
          <t>Organisation</t>
        </is>
      </c>
      <c r="E49" s="1" t="inlineStr">
        <is>
          <t>Mode d'action ou style de vie (J-Organisation ou P-perception)</t>
        </is>
      </c>
      <c r="F49" s="36" t="inlineStr">
        <is>
          <t>Capacité à organiser les actions et tâches selon un plan défini temporellement</t>
        </is>
      </c>
      <c r="G49" s="42" t="inlineStr">
        <is>
          <t>Pour passer les meilleures vacances possibles, il vaut mieux :</t>
        </is>
      </c>
      <c r="H49" s="1" t="inlineStr">
        <is>
          <t>Planifier chaque étape de vos vacances avec les dates, les lieux, les prix.</t>
        </is>
      </c>
      <c r="I49" s="1" t="inlineStr">
        <is>
          <t>Calculer les délais de chaque activité afin de les réaliser au bon moment, pour plus de fun.</t>
        </is>
      </c>
      <c r="J49" s="1" t="inlineStr">
        <is>
          <t>Surtout chercher à se reposer l’esprit, en se prélassant.</t>
        </is>
      </c>
      <c r="K49" s="1" t="inlineStr">
        <is>
          <t>Improviser une fois sur place, car ce qui est spontané est plus amusant.</t>
        </is>
      </c>
      <c r="L49" s="46" t="n"/>
      <c r="M49" s="38">
        <f>_xlfn.XLOOKUP(L49,'Questionnaire '!$R$2:$U$2,'Questionnaire '!$R49:$U49)</f>
        <v/>
      </c>
      <c r="N49" s="15">
        <f>IF(L49="A",2,IF(L49="B",1,0))</f>
        <v/>
      </c>
      <c r="O49" s="1" t="inlineStr">
        <is>
          <t>Soft skills</t>
        </is>
      </c>
      <c r="P49" s="48">
        <f>IF(N49&gt;=1,"","À développer")</f>
        <v/>
      </c>
      <c r="Q49" s="48" t="n"/>
      <c r="R49" s="24" t="inlineStr">
        <is>
          <t>Vous aimez planifier les choses. Vous n'aimez pas être débordé ou perturbé par un manque de prévision.</t>
        </is>
      </c>
      <c r="S49" s="24" t="inlineStr">
        <is>
          <t>Vous aimez planifier les choses. Vous n'aimez pas être débordé ou perturbé par un manque de prévision.</t>
        </is>
      </c>
      <c r="T49" s="24" t="inlineStr">
        <is>
          <t>Vous n'aimez pas planifier les choses et vous avez parfois du mal à le faire.</t>
        </is>
      </c>
      <c r="U49" s="24" t="inlineStr">
        <is>
          <t>Vous n'aimez pas planifier les choses et vous avez parfois du mal à le faire.</t>
        </is>
      </c>
      <c r="W49" s="53">
        <f>IF(N49&gt;0,"N","S")</f>
        <v/>
      </c>
    </row>
    <row r="50" ht="115.2" customHeight="1">
      <c r="A50" s="22" t="n">
        <v>47</v>
      </c>
      <c r="B50" s="17" t="n"/>
      <c r="C50" s="1" t="inlineStr">
        <is>
          <t>La visualisation</t>
        </is>
      </c>
      <c r="D50" s="1" t="inlineStr">
        <is>
          <t>Organisation</t>
        </is>
      </c>
      <c r="E50" s="1" t="inlineStr">
        <is>
          <t>Recueil d'information ou perception (S-sensation ou N-intuition)</t>
        </is>
      </c>
      <c r="F50" s="36" t="inlineStr">
        <is>
          <t>Capacité de se projeter mentalement dans une situation future.</t>
        </is>
      </c>
      <c r="G50" s="42" t="inlineStr">
        <is>
          <t>Lorsque vous vous préparez pour un projet important ou un événement à venir, comment planifiez-vous vos actions</t>
        </is>
      </c>
      <c r="H50" s="10" t="inlineStr">
        <is>
          <t>Vous vous imaginez toutes les étapes nécessaires pour atteindre mon objectif et je les visualise clairement clairement dans votre tête..</t>
        </is>
      </c>
      <c r="I50" s="10" t="inlineStr">
        <is>
          <t>Vous utilisez des outils comme des cartes mentales ou des listes pour organiser mes pensées et visualiser comment vous allez aborder le projet.</t>
        </is>
      </c>
      <c r="J50" s="10" t="inlineStr">
        <is>
          <t>Vous vous sentez souvent dépassé(e) et je ne sais pas par où commencer, donc vous ne faites pas vraiment de planification visuelle..</t>
        </is>
      </c>
      <c r="K50" s="10" t="inlineStr">
        <is>
          <t>Vous attendez que les choses se présentent et je réagis au fur et à mesure, sans visualiser à l'avance le processus ou le résultat..</t>
        </is>
      </c>
      <c r="L50" s="46" t="n"/>
      <c r="M50" s="38">
        <f>_xlfn.XLOOKUP(L50,'Questionnaire '!$R$2:$U$2,'Questionnaire '!$R50:$U50)</f>
        <v/>
      </c>
      <c r="N50" s="15">
        <f>IF(L50="A",2,IF(L50="B",1,0))</f>
        <v/>
      </c>
      <c r="O50" s="6" t="inlineStr">
        <is>
          <t>Soft skills</t>
        </is>
      </c>
      <c r="P50" s="48">
        <f>IF(N50&gt;=1,"","À développer")</f>
        <v/>
      </c>
      <c r="Q50" s="48" t="n"/>
      <c r="R50" s="24" t="inlineStr">
        <is>
          <t>Vous avez de l'imagination et vous projetez facilement dans des situations futures..</t>
        </is>
      </c>
      <c r="S50" s="24" t="inlineStr">
        <is>
          <t>Vous avez de l'imagination et visualisez facilement les étapes à venir..</t>
        </is>
      </c>
      <c r="T50" s="25" t="inlineStr">
        <is>
          <t>Vous avez du mal à vous projeter mentalement dans une situation future. La planification visuelle est difficile pour vous..</t>
        </is>
      </c>
      <c r="U50" s="25" t="inlineStr">
        <is>
          <t>Vous avez du mal à vous projeter mentalement dans une situation future. La planification visuelle est difficile pour vous..</t>
        </is>
      </c>
      <c r="W50" s="53">
        <f>IF(N50&gt;0,"N","S")</f>
        <v/>
      </c>
    </row>
    <row r="51" ht="187.2" customHeight="1">
      <c r="A51" s="22" t="n">
        <v>48</v>
      </c>
      <c r="B51" s="1" t="n"/>
      <c r="C51" s="1" t="inlineStr">
        <is>
          <t>Le respect des délais</t>
        </is>
      </c>
      <c r="D51" s="1" t="inlineStr">
        <is>
          <t>Organisation</t>
        </is>
      </c>
      <c r="E51" s="1" t="inlineStr">
        <is>
          <t>Mode d'action ou style de vie (J-Organisation ou P-perception)</t>
        </is>
      </c>
      <c r="F51" s="36" t="inlineStr">
        <is>
          <t>Aptitude à arriver à l'heure et rendre les attendus au moment demandé</t>
        </is>
      </c>
      <c r="G51" s="43" t="inlineStr">
        <is>
          <t>Vous avez rendez-vous avec l'élu de votre cœur près d'un lac romantique, vous êtes plutôt du genre à :</t>
        </is>
      </c>
      <c r="H51" s="44" t="inlineStr">
        <is>
          <t>Arriver en avance afin d'être sûr de ne pas le faire attendre.</t>
        </is>
      </c>
      <c r="I51" s="44" t="inlineStr">
        <is>
          <t>Arriver pile à l'heure du rendez-vous pour profiter au maximum du temps passé avec lui.</t>
        </is>
      </c>
      <c r="J51" s="44" t="inlineStr">
        <is>
          <t>Arriver 5 minutes en retard pour ne pas passer pour celui ou celle qui était en train de l'attendre.</t>
        </is>
      </c>
      <c r="K51" s="44" t="inlineStr">
        <is>
          <t>Arriver en retard parce que vous mettez beaucoup de temps à vous préparer.</t>
        </is>
      </c>
      <c r="L51" s="46" t="n"/>
      <c r="M51" s="38">
        <f>_xlfn.XLOOKUP(L51,'Questionnaire '!$R$2:$U$2,'Questionnaire '!$R51:$U51)</f>
        <v/>
      </c>
      <c r="N51" s="15">
        <f>IF(L51="A",2,IF(L51="B",1,0))</f>
        <v/>
      </c>
      <c r="O51" s="10" t="inlineStr">
        <is>
          <t>Soft skills</t>
        </is>
      </c>
      <c r="P51" s="48">
        <f>IF(N51&gt;=1,"","À développer")</f>
        <v/>
      </c>
      <c r="Q51" s="48" t="n"/>
      <c r="R51" s="25" t="inlineStr">
        <is>
          <t>En général, vous faites tout pour respecter les délais et horaires fixés.</t>
        </is>
      </c>
      <c r="S51" s="25" t="inlineStr">
        <is>
          <t>En général, vous faites tout pour respecter les délais et horaires fixés.</t>
        </is>
      </c>
      <c r="T51" s="25" t="inlineStr">
        <is>
          <t>Vous avez du mal à respecter les délais et les horaires fixés.</t>
        </is>
      </c>
      <c r="U51" s="25" t="inlineStr">
        <is>
          <t>Vous avez du mal à respecter les délais et les horaires fixés.</t>
        </is>
      </c>
      <c r="W51" s="53">
        <f>IF(N51&gt;0,"N","S")</f>
        <v/>
      </c>
    </row>
    <row r="52" ht="172.8" customHeight="1"/>
    <row r="53" ht="331.2" customHeight="1"/>
    <row r="54" ht="187.2" customHeight="1"/>
    <row r="55" ht="158.4" customHeight="1"/>
    <row r="56" ht="172.8" customHeight="1"/>
    <row r="57" ht="216" customHeight="1"/>
    <row r="58" ht="172.8" customHeight="1"/>
    <row r="59" ht="172.8" customHeight="1"/>
    <row r="60" ht="172.8" customHeight="1"/>
    <row r="61" ht="129.6" customHeight="1"/>
    <row r="62" ht="158.4" customHeight="1"/>
    <row r="63" ht="129.6" customHeight="1"/>
    <row r="64" ht="158.4" customHeight="1"/>
    <row r="65" ht="158.4" customHeight="1"/>
    <row r="66" ht="187.2" customHeight="1"/>
    <row r="67" ht="187.2" customHeight="1"/>
    <row r="68" ht="216" customHeight="1"/>
    <row r="69" ht="129.6" customHeight="1"/>
    <row r="70" ht="187.2" customHeight="1"/>
    <row r="71" ht="129.6" customHeight="1"/>
    <row r="72" ht="144" customHeight="1"/>
    <row r="73" ht="71.40000000000001" customHeight="1"/>
    <row r="74" ht="110.4" customHeight="1" thickBot="1"/>
  </sheetData>
  <autoFilter ref="A2:U74"/>
  <conditionalFormatting sqref="G13">
    <cfRule type="expression" priority="5" dxfId="1">
      <formula>K13="A"</formula>
    </cfRule>
  </conditionalFormatting>
  <conditionalFormatting sqref="H3:H72 H74">
    <cfRule type="expression" priority="7" dxfId="1">
      <formula>L3="A"</formula>
    </cfRule>
  </conditionalFormatting>
  <conditionalFormatting sqref="H73">
    <cfRule type="expression" priority="4" dxfId="1">
      <formula>J73="c"</formula>
    </cfRule>
  </conditionalFormatting>
  <conditionalFormatting sqref="I3:I72 I74">
    <cfRule type="expression" priority="6" dxfId="1">
      <formula>L3="b"</formula>
    </cfRule>
  </conditionalFormatting>
  <conditionalFormatting sqref="I73">
    <cfRule type="expression" priority="3" dxfId="0">
      <formula>J73="d"</formula>
    </cfRule>
  </conditionalFormatting>
  <conditionalFormatting sqref="J3:J47 J49:J74">
    <cfRule type="expression" priority="9" dxfId="1">
      <formula>L3="c"</formula>
    </cfRule>
  </conditionalFormatting>
  <conditionalFormatting sqref="J48">
    <cfRule type="expression" priority="21" dxfId="1">
      <formula>#REF!="A"</formula>
    </cfRule>
  </conditionalFormatting>
  <conditionalFormatting sqref="K3:K47 K49:K74">
    <cfRule type="expression" priority="8" dxfId="0">
      <formula>L3="d"</formula>
    </cfRule>
  </conditionalFormatting>
  <conditionalFormatting sqref="K48">
    <cfRule type="expression" priority="22" dxfId="1">
      <formula>#REF!="b"</formula>
    </cfRule>
  </conditionalFormatting>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G31"/>
  <sheetViews>
    <sheetView topLeftCell="B1" workbookViewId="0">
      <selection activeCell="F4" sqref="F4"/>
    </sheetView>
  </sheetViews>
  <sheetFormatPr baseColWidth="10" defaultRowHeight="14.4"/>
  <cols>
    <col width="53.77734375" bestFit="1" customWidth="1" min="2" max="2"/>
    <col width="7.33203125" bestFit="1" customWidth="1" min="3" max="3"/>
    <col width="7.6640625" bestFit="1" customWidth="1" min="4" max="4"/>
    <col width="18.44140625" customWidth="1" min="6" max="6"/>
  </cols>
  <sheetData>
    <row r="2">
      <c r="B2" t="inlineStr">
        <is>
          <t>Analyse Soft skills</t>
        </is>
      </c>
      <c r="C2" t="inlineStr">
        <is>
          <t>Max possible</t>
        </is>
      </c>
      <c r="D2" t="inlineStr">
        <is>
          <t>Score obtenu</t>
        </is>
      </c>
      <c r="E2" t="inlineStr">
        <is>
          <t>% de maîtrise</t>
        </is>
      </c>
      <c r="F2" t="inlineStr">
        <is>
          <t>Niveau</t>
        </is>
      </c>
    </row>
    <row r="3" ht="72" customHeight="1">
      <c r="B3" s="24" t="inlineStr">
        <is>
          <t>Catégorie soft skills</t>
        </is>
      </c>
      <c r="C3" s="24" t="inlineStr">
        <is>
          <t>Barème</t>
        </is>
      </c>
      <c r="D3" s="24" t="inlineStr">
        <is>
          <t>Résultat</t>
        </is>
      </c>
      <c r="E3" s="24" t="inlineStr">
        <is>
          <t>Pourcentage de réponses en accord avec la catégorie</t>
        </is>
      </c>
      <c r="F3" s="24" t="inlineStr">
        <is>
          <t>Niveau</t>
        </is>
      </c>
      <c r="G3" s="24" t="inlineStr">
        <is>
          <t>Schéma de personnalité</t>
        </is>
      </c>
    </row>
    <row r="4">
      <c r="B4" s="6" t="inlineStr">
        <is>
          <t>Communication</t>
        </is>
      </c>
      <c r="C4" s="6">
        <f>COUNTIF('Questionnaire '!D:D,B4)*2</f>
        <v/>
      </c>
      <c r="D4" s="6">
        <f>SUMIF('Questionnaire '!D:D,B4,'Questionnaire '!N:N)</f>
        <v/>
      </c>
      <c r="E4" s="18">
        <f>D4/C4</f>
        <v/>
      </c>
      <c r="F4" s="6">
        <f>IF(E4&lt;0.25,"Très peu développé",IF(E4&lt;0.5,"Peu développé",IF(E4&lt;0.75,"Développé","Très développé")))</f>
        <v/>
      </c>
      <c r="G4" s="18">
        <f>D4/D12</f>
        <v/>
      </c>
    </row>
    <row r="5">
      <c r="B5" s="6" t="inlineStr">
        <is>
          <t>Esprit critique</t>
        </is>
      </c>
      <c r="C5" s="6">
        <f>COUNTIF('Questionnaire '!D:D,B5)*2</f>
        <v/>
      </c>
      <c r="D5" s="6">
        <f>SUMIF('Questionnaire '!D:D,B5,'Questionnaire '!N:N)</f>
        <v/>
      </c>
      <c r="E5" s="18">
        <f>D5/C5</f>
        <v/>
      </c>
      <c r="F5" s="6">
        <f>IF(E5&lt;0.25,"Très peu développé",IF(E5&lt;0.5,"Peu développé",IF(E5&lt;0.75,"Développé","Très développé")))</f>
        <v/>
      </c>
      <c r="G5" s="18">
        <f>D5/D12</f>
        <v/>
      </c>
    </row>
    <row r="6">
      <c r="B6" s="6" t="inlineStr">
        <is>
          <t>Ethique</t>
        </is>
      </c>
      <c r="C6" s="6">
        <f>COUNTIF('Questionnaire '!D:D,B6)*2</f>
        <v/>
      </c>
      <c r="D6" s="6">
        <f>SUMIF('Questionnaire '!D:D,B6,'Questionnaire '!N:N)</f>
        <v/>
      </c>
      <c r="E6" s="18">
        <f>D6/C6</f>
        <v/>
      </c>
      <c r="F6" s="6">
        <f>IF(E6&lt;0.25,"Très peu développé",IF(E6&lt;0.5,"Peu développé",IF(E6&lt;0.75,"Développé","Très développé")))</f>
        <v/>
      </c>
      <c r="G6" s="18">
        <f>D6/D12</f>
        <v/>
      </c>
    </row>
    <row r="7">
      <c r="B7" s="6" t="inlineStr">
        <is>
          <t>Intelligence émotionnelle</t>
        </is>
      </c>
      <c r="C7" s="6">
        <f>COUNTIF('Questionnaire '!D:D,B7)*2</f>
        <v/>
      </c>
      <c r="D7" s="6">
        <f>SUMIF('Questionnaire '!D:D,B7,'Questionnaire '!N:N)</f>
        <v/>
      </c>
      <c r="E7" s="18">
        <f>D7/C7</f>
        <v/>
      </c>
      <c r="F7" s="6">
        <f>IF(E7&lt;0.25,"Très peu développé",IF(E7&lt;0.5,"Peu développé",IF(E7&lt;0.75,"Développé","Très développé")))</f>
        <v/>
      </c>
      <c r="G7" s="18">
        <f>D7/D12</f>
        <v/>
      </c>
    </row>
    <row r="8">
      <c r="B8" s="6" t="inlineStr">
        <is>
          <t>Intelligence sociale</t>
        </is>
      </c>
      <c r="C8" s="6">
        <f>COUNTIF('Questionnaire '!D:D,B8)*2</f>
        <v/>
      </c>
      <c r="D8" s="6">
        <f>SUMIF('Questionnaire '!D:D,B8,'Questionnaire '!N:N)</f>
        <v/>
      </c>
      <c r="E8" s="18">
        <f>D8/C8</f>
        <v/>
      </c>
      <c r="F8" s="6">
        <f>IF(E8&lt;0.25,"Très peu développé",IF(E8&lt;0.5,"Peu développé",IF(E8&lt;0.75,"Développé","Très développé")))</f>
        <v/>
      </c>
      <c r="G8" s="18">
        <f>D8/D12</f>
        <v/>
      </c>
    </row>
    <row r="9">
      <c r="B9" s="6" t="inlineStr">
        <is>
          <t>Management de projet</t>
        </is>
      </c>
      <c r="C9" s="6">
        <f>COUNTIF('Questionnaire '!D:D,B9)*2</f>
        <v/>
      </c>
      <c r="D9" s="6">
        <f>SUMIF('Questionnaire '!D:D,B9,'Questionnaire '!N:N)</f>
        <v/>
      </c>
      <c r="E9" s="18">
        <f>D9/C9</f>
        <v/>
      </c>
      <c r="F9" s="6">
        <f>IF(E9&lt;0.25,"Très peu développé",IF(E9&lt;0.5,"Peu développé",IF(E9&lt;0.75,"Développé","Très développé")))</f>
        <v/>
      </c>
      <c r="G9" s="18">
        <f>D9/D12</f>
        <v/>
      </c>
    </row>
    <row r="10">
      <c r="B10" s="6" t="inlineStr">
        <is>
          <t>Management et gestion d'équipe</t>
        </is>
      </c>
      <c r="C10" s="6">
        <f>COUNTIF('Questionnaire '!D:D,B10)*2</f>
        <v/>
      </c>
      <c r="D10" s="6">
        <f>SUMIF('Questionnaire '!D:D,B10,'Questionnaire '!N:N)</f>
        <v/>
      </c>
      <c r="E10" s="18">
        <f>D10/C10</f>
        <v/>
      </c>
      <c r="F10" s="6">
        <f>IF(E10&lt;0.25,"Très peu développé",IF(E10&lt;0.5,"Peu développé",IF(E10&lt;0.75,"Développé","Très développé")))</f>
        <v/>
      </c>
      <c r="G10" s="18">
        <f>D10/D12</f>
        <v/>
      </c>
    </row>
    <row r="11">
      <c r="B11" s="32" t="inlineStr">
        <is>
          <t>Organisation</t>
        </is>
      </c>
      <c r="C11" s="32">
        <f>COUNTIF('Questionnaire '!D:D,B11)*2</f>
        <v/>
      </c>
      <c r="D11" s="32">
        <f>SUMIF('Questionnaire '!D:D,B11,'Questionnaire '!N:N)</f>
        <v/>
      </c>
      <c r="E11" s="33">
        <f>D11/C11</f>
        <v/>
      </c>
      <c r="F11" s="32">
        <f>IF(E11&lt;0.25,"Très peu développé",IF(E11&lt;0.5,"Peu développé",IF(E11&lt;0.75,"Développé","Très développé")))</f>
        <v/>
      </c>
      <c r="G11" s="18">
        <f>D11/D12</f>
        <v/>
      </c>
    </row>
    <row r="12">
      <c r="B12" s="6" t="inlineStr">
        <is>
          <t>Totaux</t>
        </is>
      </c>
      <c r="C12" s="6">
        <f>SUM(C4:C11)</f>
        <v/>
      </c>
      <c r="D12" s="6">
        <f>SUM(D4:D11)</f>
        <v/>
      </c>
      <c r="E12" s="6" t="n"/>
      <c r="F12" s="6" t="n"/>
      <c r="G12" s="18">
        <f>SUM(G4:G11)</f>
        <v/>
      </c>
    </row>
    <row r="20">
      <c r="B20" t="inlineStr">
        <is>
          <t>MBTI</t>
        </is>
      </c>
    </row>
    <row r="21">
      <c r="B21" s="6" t="inlineStr">
        <is>
          <t>Résultat MBTI</t>
        </is>
      </c>
      <c r="C21" s="54" t="inlineStr">
        <is>
          <t>Score max</t>
        </is>
      </c>
      <c r="D21" s="54" t="inlineStr">
        <is>
          <t>Score obtenu</t>
        </is>
      </c>
      <c r="E21" s="54" t="inlineStr">
        <is>
          <t>% de votes</t>
        </is>
      </c>
      <c r="F21" s="54" t="inlineStr">
        <is>
          <t>Lettre dominante</t>
        </is>
      </c>
    </row>
    <row r="22">
      <c r="B22" s="6" t="inlineStr">
        <is>
          <t>E — Extraversion</t>
        </is>
      </c>
      <c r="C22" s="6">
        <f>COUNTIF('Questionnaire '!E$3:E$74,"*Energie*")*2</f>
        <v/>
      </c>
      <c r="D22" s="6">
        <f>SUMPRODUCT(('Questionnaire '!W$3:W$74="E")*('Questionnaire '!N$3:N$74))</f>
        <v/>
      </c>
      <c r="E22" s="18">
        <f>IFERROR(D22/C22,0)</f>
        <v/>
      </c>
      <c r="F22" s="48">
        <f>IF(E22&gt;=E23,"E","")</f>
        <v/>
      </c>
    </row>
    <row r="23">
      <c r="B23" s="6" t="inlineStr">
        <is>
          <t>I — Introversion</t>
        </is>
      </c>
      <c r="C23" s="6">
        <f>COUNTIF('Questionnaire '!E$3:E$74,"*Energie*")*2</f>
        <v/>
      </c>
      <c r="D23" s="6">
        <f>SUMPRODUCT(('Questionnaire '!W$3:W$74="I")*('Questionnaire '!N$3:N$74))</f>
        <v/>
      </c>
      <c r="E23" s="18">
        <f>IFERROR(D23/C23,0)</f>
        <v/>
      </c>
      <c r="F23">
        <f>IF(E23&gt;E22,"I","")</f>
        <v/>
      </c>
    </row>
    <row r="24">
      <c r="B24" s="6" t="inlineStr">
        <is>
          <t>N — Intuition</t>
        </is>
      </c>
      <c r="C24" s="6">
        <f>COUNTIF('Questionnaire '!E$3:E$74,"*perception*")*2</f>
        <v/>
      </c>
      <c r="D24" s="6">
        <f>SUMPRODUCT(('Questionnaire '!W$3:W$74="N")*('Questionnaire '!N$3:N$74))</f>
        <v/>
      </c>
      <c r="E24" s="18">
        <f>IFERROR(D24/C24,0)</f>
        <v/>
      </c>
      <c r="F24" s="48">
        <f>IF(E24&gt;=E25,"N","")</f>
        <v/>
      </c>
    </row>
    <row r="25">
      <c r="B25" s="6" t="inlineStr">
        <is>
          <t>S — Sensation</t>
        </is>
      </c>
      <c r="C25" s="6">
        <f>COUNTIF('Questionnaire '!E$3:E$74,"*perception*")*2</f>
        <v/>
      </c>
      <c r="D25" s="6">
        <f>SUMPRODUCT(('Questionnaire '!W$3:W$74="S")*('Questionnaire '!N$3:N$74))</f>
        <v/>
      </c>
      <c r="E25" s="18">
        <f>IFERROR(D25/C25,0)</f>
        <v/>
      </c>
      <c r="F25">
        <f>IF(E25&gt;E24,"S","")</f>
        <v/>
      </c>
    </row>
    <row r="26">
      <c r="B26" s="6" t="inlineStr">
        <is>
          <t>F — Sentiment</t>
        </is>
      </c>
      <c r="C26" s="6">
        <f>COUNTIF('Questionnaire '!E$3:E$74,"*sentiment*")*2</f>
        <v/>
      </c>
      <c r="D26" s="6">
        <f>SUMPRODUCT(('Questionnaire '!W$3:W$74="F")*('Questionnaire '!N$3:N$74))</f>
        <v/>
      </c>
      <c r="E26" s="18">
        <f>IFERROR(D26/C26,0)</f>
        <v/>
      </c>
      <c r="F26" s="48">
        <f>IF(E26&gt;=E27,"F","")</f>
        <v/>
      </c>
    </row>
    <row r="27">
      <c r="B27" s="6" t="inlineStr">
        <is>
          <t>T — Pensée</t>
        </is>
      </c>
      <c r="C27" s="6">
        <f>COUNTIF('Questionnaire '!E$3:E$74,"*sentiment*")*2</f>
        <v/>
      </c>
      <c r="D27" s="6">
        <f>SUMPRODUCT(('Questionnaire '!W$3:W$74="T")*('Questionnaire '!N$3:N$74))</f>
        <v/>
      </c>
      <c r="E27" s="18">
        <f>IFERROR(D27/C27,0)</f>
        <v/>
      </c>
      <c r="F27">
        <f>IF(E27&gt;E26,"T","")</f>
        <v/>
      </c>
    </row>
    <row r="28">
      <c r="B28" s="6" t="inlineStr">
        <is>
          <t>J — Organisation</t>
        </is>
      </c>
      <c r="C28" s="6">
        <f>COUNTIF('Questionnaire '!E$3:E$74,"*style de vie*")*2</f>
        <v/>
      </c>
      <c r="D28" s="6">
        <f>SUMPRODUCT(('Questionnaire '!W$3:W$74="J")*('Questionnaire '!N$3:N$74))</f>
        <v/>
      </c>
      <c r="E28" s="18">
        <f>IFERROR(D28/C28,0)</f>
        <v/>
      </c>
      <c r="F28" s="48">
        <f>IF(E28&gt;=E29,"J","")</f>
        <v/>
      </c>
    </row>
    <row r="29">
      <c r="B29" s="6" t="inlineStr">
        <is>
          <t>P — Perception</t>
        </is>
      </c>
      <c r="C29" s="6">
        <f>COUNTIF('Questionnaire '!E$3:E$74,"*style de vie*")*2</f>
        <v/>
      </c>
      <c r="D29" s="6">
        <f>SUMPRODUCT(('Questionnaire '!W$3:W$74="P")*('Questionnaire '!N$3:N$74))</f>
        <v/>
      </c>
      <c r="E29" s="18">
        <f>IFERROR(D29/C29,0)</f>
        <v/>
      </c>
      <c r="F29">
        <f>IF(E29&gt;E28,"P","")</f>
        <v/>
      </c>
    </row>
    <row r="30">
      <c r="B30" s="6" t="inlineStr">
        <is>
          <t>Type MBTI final</t>
        </is>
      </c>
      <c r="C30" s="6" t="n"/>
      <c r="D30" s="6" t="n"/>
      <c r="E30" s="18" t="n"/>
      <c r="F30" s="48">
        <f>_xlfn.TEXTJOIN("",TRUE,F22:F29)</f>
        <v/>
      </c>
    </row>
    <row r="31">
      <c r="F31" s="22" t="n"/>
    </row>
  </sheetData>
  <conditionalFormatting sqref="D22:D23">
    <cfRule type="colorScale" priority="5">
      <colorScale>
        <cfvo type="min"/>
        <cfvo type="percentile" val="50"/>
        <cfvo type="max"/>
        <color rgb="FFF8696B"/>
        <color rgb="FFFFEB84"/>
        <color rgb="FF63BE7B"/>
      </colorScale>
    </cfRule>
  </conditionalFormatting>
  <conditionalFormatting sqref="D24:D25">
    <cfRule type="colorScale" priority="4">
      <colorScale>
        <cfvo type="min"/>
        <cfvo type="percentile" val="50"/>
        <cfvo type="max"/>
        <color rgb="FFF8696B"/>
        <color rgb="FFFFEB84"/>
        <color rgb="FF63BE7B"/>
      </colorScale>
    </cfRule>
  </conditionalFormatting>
  <conditionalFormatting sqref="D26:D27">
    <cfRule type="colorScale" priority="3">
      <colorScale>
        <cfvo type="min"/>
        <cfvo type="percentile" val="50"/>
        <cfvo type="max"/>
        <color rgb="FFF8696B"/>
        <color rgb="FFFFEB84"/>
        <color rgb="FF63BE7B"/>
      </colorScale>
    </cfRule>
  </conditionalFormatting>
  <conditionalFormatting sqref="D28:D29">
    <cfRule type="colorScale" priority="2">
      <colorScale>
        <cfvo type="min"/>
        <cfvo type="percentile" val="50"/>
        <cfvo type="max"/>
        <color rgb="FFF8696B"/>
        <color rgb="FFFFEB84"/>
        <color rgb="FF63BE7B"/>
      </colorScale>
    </cfRule>
  </conditionalFormatting>
  <conditionalFormatting sqref="E4:E11">
    <cfRule type="colorScale" priority="20">
      <colorScale>
        <cfvo type="min"/>
        <cfvo type="percentile" val="50"/>
        <cfvo type="max"/>
        <color rgb="FFF8696B"/>
        <color rgb="FFFFEB84"/>
        <color rgb="FF63BE7B"/>
      </colorScale>
    </cfRule>
  </conditionalFormatting>
  <conditionalFormatting sqref="E22:E23">
    <cfRule type="colorScale" priority="9">
      <colorScale>
        <cfvo type="min"/>
        <cfvo type="percentile" val="50"/>
        <cfvo type="max"/>
        <color rgb="FFF8696B"/>
        <color rgb="FFFFEB84"/>
        <color rgb="FF63BE7B"/>
      </colorScale>
    </cfRule>
  </conditionalFormatting>
  <conditionalFormatting sqref="E24:E25">
    <cfRule type="colorScale" priority="8">
      <colorScale>
        <cfvo type="min"/>
        <cfvo type="percentile" val="50"/>
        <cfvo type="max"/>
        <color rgb="FFF8696B"/>
        <color rgb="FFFFEB84"/>
        <color rgb="FF63BE7B"/>
      </colorScale>
    </cfRule>
  </conditionalFormatting>
  <conditionalFormatting sqref="E26:E27">
    <cfRule type="colorScale" priority="7">
      <colorScale>
        <cfvo type="min"/>
        <cfvo type="percentile" val="50"/>
        <cfvo type="max"/>
        <color rgb="FFF8696B"/>
        <color rgb="FFFFEB84"/>
        <color rgb="FF63BE7B"/>
      </colorScale>
    </cfRule>
  </conditionalFormatting>
  <conditionalFormatting sqref="E28:E29">
    <cfRule type="colorScale" priority="6">
      <colorScale>
        <cfvo type="min"/>
        <cfvo type="percentile" val="50"/>
        <cfvo type="max"/>
        <color rgb="FFF8696B"/>
        <color rgb="FFFFEB84"/>
        <color rgb="FF63BE7B"/>
      </colorScale>
    </cfRule>
  </conditionalFormatting>
  <conditionalFormatting sqref="E30">
    <cfRule type="colorScale" priority="10">
      <colorScale>
        <cfvo type="min"/>
        <cfvo type="percentile" val="50"/>
        <cfvo type="max"/>
        <color rgb="FFF8696B"/>
        <color rgb="FFFFEB84"/>
        <color rgb="FF63BE7B"/>
      </colorScale>
    </cfRule>
  </conditionalFormatting>
  <conditionalFormatting sqref="G4:G1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paperSize="9"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CV269"/>
  <sheetViews>
    <sheetView zoomScale="113" workbookViewId="0">
      <pane xSplit="2" ySplit="2" topLeftCell="C3" activePane="bottomRight" state="frozen"/>
      <selection activeCell="A4" sqref="A4"/>
      <selection pane="topRight" activeCell="A4" sqref="A4"/>
      <selection pane="bottomLeft" activeCell="A4" sqref="A4"/>
      <selection pane="bottomRight" activeCell="C4" sqref="C4:BV4"/>
    </sheetView>
  </sheetViews>
  <sheetFormatPr baseColWidth="10" defaultRowHeight="14.4"/>
  <cols>
    <col width="20.77734375" customWidth="1" min="1" max="100"/>
  </cols>
  <sheetData>
    <row r="2" ht="43.2" customFormat="1" customHeight="1" s="16">
      <c r="A2" s="31" t="inlineStr">
        <is>
          <t>Prénom du sujet</t>
        </is>
      </c>
      <c r="B2" s="31" t="inlineStr">
        <is>
          <t>Nom du sujet</t>
        </is>
      </c>
      <c r="C2" s="30" t="inlineStr">
        <is>
          <t>Assertivité</t>
        </is>
      </c>
      <c r="D2" s="30" t="inlineStr">
        <is>
          <t>Communication à distance</t>
        </is>
      </c>
      <c r="E2" s="30" t="inlineStr">
        <is>
          <t>Communication écrite</t>
        </is>
      </c>
      <c r="F2" s="30" t="inlineStr">
        <is>
          <t>L’audace (ou le culot)</t>
        </is>
      </c>
      <c r="G2" s="30" t="inlineStr">
        <is>
          <t>L’enthousiasme et le dynamisme</t>
        </is>
      </c>
      <c r="H2" s="30" t="inlineStr">
        <is>
          <t>L’optimisme</t>
        </is>
      </c>
      <c r="I2" s="30" t="inlineStr">
        <is>
          <t>La clarté de communication</t>
        </is>
      </c>
      <c r="J2" s="30" t="inlineStr">
        <is>
          <t>La diplomatie</t>
        </is>
      </c>
      <c r="K2" s="30" t="inlineStr">
        <is>
          <t>La négociation</t>
        </is>
      </c>
      <c r="L2" s="30" t="inlineStr">
        <is>
          <t>La persuasion</t>
        </is>
      </c>
      <c r="M2" s="30" t="inlineStr">
        <is>
          <t>La posture ou la communication non verbale</t>
        </is>
      </c>
      <c r="N2" s="30" t="inlineStr">
        <is>
          <t>L'argumentation</t>
        </is>
      </c>
      <c r="O2" s="30" t="inlineStr">
        <is>
          <t>Prestance</t>
        </is>
      </c>
      <c r="P2" s="30" t="inlineStr">
        <is>
          <t>Prise de parole en public</t>
        </is>
      </c>
      <c r="Q2" s="30" t="inlineStr">
        <is>
          <t>Rhétorique ou storytelling</t>
        </is>
      </c>
      <c r="R2" s="30" t="inlineStr">
        <is>
          <t>Actualisation des connaissances</t>
        </is>
      </c>
      <c r="S2" s="30" t="inlineStr">
        <is>
          <t>L’acuité et le discernement</t>
        </is>
      </c>
      <c r="T2" s="30" t="inlineStr">
        <is>
          <t>L’humour</t>
        </is>
      </c>
      <c r="U2" s="30" t="inlineStr">
        <is>
          <t>L’ouverture d'esprit</t>
        </is>
      </c>
      <c r="V2" s="30" t="inlineStr">
        <is>
          <t>La créativité ou l'imagination</t>
        </is>
      </c>
      <c r="W2" s="30" t="inlineStr">
        <is>
          <t>La curiosité</t>
        </is>
      </c>
      <c r="X2" s="30" t="inlineStr">
        <is>
          <t>La pensée logique</t>
        </is>
      </c>
      <c r="Y2" s="30" t="inlineStr">
        <is>
          <t>La rigueur (travail)</t>
        </is>
      </c>
      <c r="Z2" s="30" t="inlineStr">
        <is>
          <t>Le sens artistique</t>
        </is>
      </c>
      <c r="AA2" s="30" t="inlineStr">
        <is>
          <t>L'innovation</t>
        </is>
      </c>
      <c r="AB2" s="30" t="inlineStr">
        <is>
          <t>Pensée critique</t>
        </is>
      </c>
      <c r="AC2" s="30" t="inlineStr">
        <is>
          <t>Penser "out of the box"</t>
        </is>
      </c>
      <c r="AD2" s="30" t="inlineStr">
        <is>
          <t>Résolution des problèmes</t>
        </is>
      </c>
      <c r="AE2" s="30" t="inlineStr">
        <is>
          <t>Savoir rechercher pour résoudre un problème</t>
        </is>
      </c>
      <c r="AF2" s="30" t="inlineStr">
        <is>
          <t>Fiabilité</t>
        </is>
      </c>
      <c r="AG2" s="30" t="inlineStr">
        <is>
          <t>L’honnêteté</t>
        </is>
      </c>
      <c r="AH2" s="30" t="inlineStr">
        <is>
          <t>L’intégrité</t>
        </is>
      </c>
      <c r="AI2" s="30" t="inlineStr">
        <is>
          <t>La conscience professionnelle</t>
        </is>
      </c>
      <c r="AJ2" s="30" t="inlineStr">
        <is>
          <t>La courtoisie, la cordialité, l’amabilité</t>
        </is>
      </c>
      <c r="AK2" s="30" t="inlineStr">
        <is>
          <t>La loyauté</t>
        </is>
      </c>
      <c r="AL2" s="30" t="inlineStr">
        <is>
          <t>La respectabilité, la dignité, l'honneur</t>
        </is>
      </c>
      <c r="AM2" s="30" t="inlineStr">
        <is>
          <t>Le sens des responsabilité</t>
        </is>
      </c>
      <c r="AN2" s="30" t="inlineStr">
        <is>
          <t>Le sens du sacrifice</t>
        </is>
      </c>
      <c r="AO2" s="30" t="inlineStr">
        <is>
          <t>L'éco-responsabilité</t>
        </is>
      </c>
      <c r="AP2" s="30" t="inlineStr">
        <is>
          <t>L'engagement</t>
        </is>
      </c>
      <c r="AQ2" s="30" t="inlineStr">
        <is>
          <t>Ponctualité</t>
        </is>
      </c>
      <c r="AR2" s="30" t="inlineStr">
        <is>
          <t>Respect des autres (doublon tolérance)</t>
        </is>
      </c>
      <c r="AS2" s="30" t="inlineStr">
        <is>
          <t>Acceptation des retours et critiques</t>
        </is>
      </c>
      <c r="AT2" s="30" t="inlineStr">
        <is>
          <t>Equanimité</t>
        </is>
      </c>
      <c r="AU2" s="30" t="inlineStr">
        <is>
          <t>Introspection</t>
        </is>
      </c>
      <c r="AV2" s="30" t="inlineStr">
        <is>
          <t>L’authenticité ou la sincérité.</t>
        </is>
      </c>
      <c r="AW2" s="30" t="inlineStr">
        <is>
          <t>L’empathie</t>
        </is>
      </c>
      <c r="AX2" s="30" t="inlineStr">
        <is>
          <t>L’humilité</t>
        </is>
      </c>
      <c r="AY2" s="30" t="inlineStr">
        <is>
          <t>La bienveillance</t>
        </is>
      </c>
      <c r="AZ2" s="30" t="inlineStr">
        <is>
          <t>La compassion</t>
        </is>
      </c>
      <c r="BA2" s="30" t="inlineStr">
        <is>
          <t>La confiance aux autres</t>
        </is>
      </c>
      <c r="BB2" s="30" t="inlineStr">
        <is>
          <t>La confiance en soi</t>
        </is>
      </c>
      <c r="BC2" s="30" t="inlineStr">
        <is>
          <t>La gestion du stress</t>
        </is>
      </c>
      <c r="BD2" s="30" t="inlineStr">
        <is>
          <t>La maitrise de soi</t>
        </is>
      </c>
      <c r="BE2" s="30" t="inlineStr">
        <is>
          <t>La reconnaissance ou considération</t>
        </is>
      </c>
      <c r="BF2" s="30" t="inlineStr">
        <is>
          <t>La résilience</t>
        </is>
      </c>
      <c r="BG2" s="30" t="inlineStr">
        <is>
          <t>La sensibilité</t>
        </is>
      </c>
      <c r="BH2" s="30" t="inlineStr">
        <is>
          <t>Aisance relationnelle</t>
        </is>
      </c>
      <c r="BI2" s="30" t="inlineStr">
        <is>
          <t>Altruisme</t>
        </is>
      </c>
      <c r="BJ2" s="30" t="inlineStr">
        <is>
          <t>Esprit d'équipe</t>
        </is>
      </c>
      <c r="BK2" s="30" t="inlineStr">
        <is>
          <t>Intelligence culturelle</t>
        </is>
      </c>
      <c r="BL2" s="30" t="inlineStr">
        <is>
          <t>L’interaction avec les autres</t>
        </is>
      </c>
      <c r="BM2" s="30" t="inlineStr">
        <is>
          <t>La coopération, la collaboration</t>
        </is>
      </c>
      <c r="BN2" s="30" t="inlineStr">
        <is>
          <t>La présence ou l'aura</t>
        </is>
      </c>
      <c r="BO2" s="30" t="inlineStr">
        <is>
          <t>La tolérance</t>
        </is>
      </c>
      <c r="BP2" s="30" t="inlineStr">
        <is>
          <t>Le networking</t>
        </is>
      </c>
      <c r="BQ2" s="30" t="inlineStr">
        <is>
          <t>Le partage d'idées</t>
        </is>
      </c>
      <c r="BR2" s="30" t="inlineStr">
        <is>
          <t>Sociabilité</t>
        </is>
      </c>
      <c r="BS2" s="30" t="inlineStr">
        <is>
          <t>L’Autonomie</t>
        </is>
      </c>
      <c r="BT2" s="30" t="inlineStr">
        <is>
          <t>La délégation de taches</t>
        </is>
      </c>
      <c r="BU2" s="30" t="inlineStr">
        <is>
          <t>La facilitation</t>
        </is>
      </c>
      <c r="BV2" s="30" t="inlineStr">
        <is>
          <t>La gestion des risques</t>
        </is>
      </c>
      <c r="BW2" s="30" t="inlineStr">
        <is>
          <t>La prise de décision</t>
        </is>
      </c>
      <c r="BX2" s="30" t="inlineStr">
        <is>
          <t>La supervision</t>
        </is>
      </c>
      <c r="BY2" s="30" t="inlineStr">
        <is>
          <t>La tolérance au changement</t>
        </is>
      </c>
      <c r="BZ2" s="30" t="inlineStr">
        <is>
          <t>L'agilité cognitive</t>
        </is>
      </c>
      <c r="CA2" s="30" t="inlineStr">
        <is>
          <t>Equité</t>
        </is>
      </c>
      <c r="CB2" s="30" t="inlineStr">
        <is>
          <t>Gérer et résoudre les conflits</t>
        </is>
      </c>
      <c r="CC2" s="30" t="inlineStr">
        <is>
          <t>Gérer les équipes à distances</t>
        </is>
      </c>
      <c r="CD2" s="30" t="inlineStr">
        <is>
          <t>Inclusivité</t>
        </is>
      </c>
      <c r="CE2" s="30" t="inlineStr">
        <is>
          <t>L’esprit d’initiative</t>
        </is>
      </c>
      <c r="CF2" s="30" t="inlineStr">
        <is>
          <t>La valorisation ou l'encouragement</t>
        </is>
      </c>
      <c r="CG2" s="30" t="inlineStr">
        <is>
          <t>Le charisme</t>
        </is>
      </c>
      <c r="CH2" s="30" t="inlineStr">
        <is>
          <t>Le coaching des autres</t>
        </is>
      </c>
      <c r="CI2" s="30" t="inlineStr">
        <is>
          <t>Leadership</t>
        </is>
      </c>
      <c r="CJ2" s="30" t="inlineStr">
        <is>
          <t>L’auto-formation</t>
        </is>
      </c>
      <c r="CK2" s="30" t="inlineStr">
        <is>
          <t>La concentration</t>
        </is>
      </c>
      <c r="CL2" s="30" t="inlineStr">
        <is>
          <t>La fixation d'objectifs</t>
        </is>
      </c>
      <c r="CM2" s="30" t="inlineStr">
        <is>
          <t>La gestion des ressources</t>
        </is>
      </c>
      <c r="CN2" s="30" t="inlineStr">
        <is>
          <t>La gestion du temps</t>
        </is>
      </c>
      <c r="CO2" s="30" t="inlineStr">
        <is>
          <t>La hiérarchisation et la priorisation</t>
        </is>
      </c>
      <c r="CP2" s="30" t="inlineStr">
        <is>
          <t>La patiente</t>
        </is>
      </c>
      <c r="CQ2" s="30" t="inlineStr">
        <is>
          <t>La persévérance</t>
        </is>
      </c>
      <c r="CR2" s="30" t="inlineStr">
        <is>
          <t>La planification</t>
        </is>
      </c>
      <c r="CS2" s="30" t="inlineStr">
        <is>
          <t>La ponctualité</t>
        </is>
      </c>
      <c r="CT2" s="30" t="inlineStr">
        <is>
          <t>La recherche d'efficacité</t>
        </is>
      </c>
      <c r="CU2" s="30" t="inlineStr">
        <is>
          <t>La visualisation</t>
        </is>
      </c>
      <c r="CV2" s="30" t="inlineStr">
        <is>
          <t>Le respect des délais</t>
        </is>
      </c>
    </row>
    <row r="3" ht="102" customFormat="1" customHeight="1" s="16">
      <c r="A3" s="15" t="inlineStr">
        <is>
          <t>Isoline</t>
        </is>
      </c>
      <c r="B3" s="15" t="inlineStr">
        <is>
          <t>VICHITH</t>
        </is>
      </c>
      <c r="C3" s="15" t="inlineStr">
        <is>
          <t>B</t>
        </is>
      </c>
      <c r="D3" s="15" t="inlineStr">
        <is>
          <t>B</t>
        </is>
      </c>
      <c r="E3" s="15" t="inlineStr">
        <is>
          <t>B</t>
        </is>
      </c>
      <c r="F3" s="15" t="inlineStr">
        <is>
          <t>A</t>
        </is>
      </c>
      <c r="G3" s="15" t="inlineStr">
        <is>
          <t>B</t>
        </is>
      </c>
      <c r="H3" s="15" t="inlineStr">
        <is>
          <t>D</t>
        </is>
      </c>
      <c r="I3" s="15" t="inlineStr">
        <is>
          <t>B</t>
        </is>
      </c>
      <c r="J3" s="15" t="inlineStr">
        <is>
          <t>B</t>
        </is>
      </c>
      <c r="K3" s="15" t="inlineStr">
        <is>
          <t>C</t>
        </is>
      </c>
      <c r="L3" s="19" t="inlineStr">
        <is>
          <t>A</t>
        </is>
      </c>
      <c r="M3" s="15" t="inlineStr">
        <is>
          <t>B</t>
        </is>
      </c>
      <c r="N3" s="15" t="inlineStr">
        <is>
          <t>A</t>
        </is>
      </c>
      <c r="O3" s="15" t="inlineStr">
        <is>
          <t>C</t>
        </is>
      </c>
      <c r="P3" s="15" t="inlineStr">
        <is>
          <t>C</t>
        </is>
      </c>
      <c r="Q3" s="15" t="inlineStr">
        <is>
          <t>D</t>
        </is>
      </c>
      <c r="R3" s="15" t="inlineStr">
        <is>
          <t>B</t>
        </is>
      </c>
      <c r="S3" s="15" t="inlineStr">
        <is>
          <t>B</t>
        </is>
      </c>
      <c r="T3" s="15" t="inlineStr">
        <is>
          <t>D</t>
        </is>
      </c>
      <c r="U3" s="15" t="inlineStr">
        <is>
          <t>D</t>
        </is>
      </c>
      <c r="V3" s="15" t="inlineStr">
        <is>
          <t>C</t>
        </is>
      </c>
      <c r="W3" s="15" t="inlineStr">
        <is>
          <t>B</t>
        </is>
      </c>
      <c r="X3" s="15" t="inlineStr">
        <is>
          <t>A</t>
        </is>
      </c>
      <c r="Y3" s="15" t="inlineStr">
        <is>
          <t>C</t>
        </is>
      </c>
      <c r="Z3" s="15" t="inlineStr">
        <is>
          <t>D</t>
        </is>
      </c>
      <c r="AA3" s="19" t="inlineStr">
        <is>
          <t>D</t>
        </is>
      </c>
      <c r="AB3" s="15" t="inlineStr">
        <is>
          <t>C</t>
        </is>
      </c>
      <c r="AC3" s="19" t="inlineStr">
        <is>
          <t>A</t>
        </is>
      </c>
      <c r="AD3" s="15" t="inlineStr">
        <is>
          <t>C</t>
        </is>
      </c>
      <c r="AE3" s="19" t="inlineStr">
        <is>
          <t>B</t>
        </is>
      </c>
      <c r="AF3" s="15" t="inlineStr">
        <is>
          <t>D</t>
        </is>
      </c>
      <c r="AG3" s="15" t="inlineStr">
        <is>
          <t>B</t>
        </is>
      </c>
      <c r="AH3" s="15" t="inlineStr">
        <is>
          <t>A</t>
        </is>
      </c>
      <c r="AI3" s="15" t="inlineStr">
        <is>
          <t>B</t>
        </is>
      </c>
      <c r="AJ3" s="15" t="inlineStr">
        <is>
          <t>B</t>
        </is>
      </c>
      <c r="AK3" s="15" t="inlineStr">
        <is>
          <t>A</t>
        </is>
      </c>
      <c r="AL3" s="15" t="inlineStr">
        <is>
          <t>A</t>
        </is>
      </c>
      <c r="AM3" s="15" t="inlineStr">
        <is>
          <t>D</t>
        </is>
      </c>
      <c r="AN3" s="15" t="inlineStr">
        <is>
          <t>B</t>
        </is>
      </c>
      <c r="AO3" s="15" t="inlineStr">
        <is>
          <t>C</t>
        </is>
      </c>
      <c r="AP3" s="15" t="inlineStr">
        <is>
          <t>A</t>
        </is>
      </c>
      <c r="AQ3" s="15" t="inlineStr">
        <is>
          <t>B</t>
        </is>
      </c>
      <c r="AR3" s="15" t="inlineStr">
        <is>
          <t>D</t>
        </is>
      </c>
      <c r="AS3" s="15" t="inlineStr">
        <is>
          <t>B</t>
        </is>
      </c>
      <c r="AT3" s="15" t="inlineStr">
        <is>
          <t>C</t>
        </is>
      </c>
      <c r="AU3" s="15" t="inlineStr">
        <is>
          <t>C</t>
        </is>
      </c>
      <c r="AV3" s="15" t="inlineStr">
        <is>
          <t>B</t>
        </is>
      </c>
      <c r="AW3" s="15" t="inlineStr">
        <is>
          <t>B</t>
        </is>
      </c>
      <c r="AX3" s="15" t="inlineStr">
        <is>
          <t>C</t>
        </is>
      </c>
      <c r="AY3" s="15" t="inlineStr">
        <is>
          <t>C</t>
        </is>
      </c>
      <c r="AZ3" s="15" t="inlineStr">
        <is>
          <t>D</t>
        </is>
      </c>
      <c r="BA3" s="15" t="inlineStr">
        <is>
          <t>C</t>
        </is>
      </c>
      <c r="BB3" s="15" t="inlineStr">
        <is>
          <t>A</t>
        </is>
      </c>
      <c r="BC3" s="15" t="inlineStr">
        <is>
          <t>C</t>
        </is>
      </c>
      <c r="BD3" s="15" t="inlineStr">
        <is>
          <t>D</t>
        </is>
      </c>
      <c r="BE3" s="15" t="inlineStr">
        <is>
          <t>C</t>
        </is>
      </c>
      <c r="BF3" s="15" t="inlineStr">
        <is>
          <t>A</t>
        </is>
      </c>
      <c r="BG3" s="19" t="inlineStr">
        <is>
          <t>C</t>
        </is>
      </c>
      <c r="BH3" s="15" t="inlineStr">
        <is>
          <t>A</t>
        </is>
      </c>
      <c r="BI3" s="15" t="inlineStr">
        <is>
          <t>B</t>
        </is>
      </c>
      <c r="BJ3" s="15" t="inlineStr">
        <is>
          <t>B</t>
        </is>
      </c>
      <c r="BK3" s="15" t="inlineStr">
        <is>
          <t>D</t>
        </is>
      </c>
      <c r="BL3" s="15" t="inlineStr">
        <is>
          <t>B</t>
        </is>
      </c>
      <c r="BM3" s="15" t="inlineStr">
        <is>
          <t>A</t>
        </is>
      </c>
      <c r="BN3" s="19" t="inlineStr">
        <is>
          <t>C</t>
        </is>
      </c>
      <c r="BO3" s="15" t="inlineStr">
        <is>
          <t>B</t>
        </is>
      </c>
      <c r="BP3" s="15" t="inlineStr">
        <is>
          <t>A</t>
        </is>
      </c>
      <c r="BQ3" s="15" t="inlineStr">
        <is>
          <t>C</t>
        </is>
      </c>
      <c r="BR3" s="15" t="inlineStr">
        <is>
          <t>B</t>
        </is>
      </c>
      <c r="BS3" s="15" t="inlineStr">
        <is>
          <t>B</t>
        </is>
      </c>
      <c r="BT3" s="15" t="inlineStr">
        <is>
          <t>A</t>
        </is>
      </c>
      <c r="BU3" s="15" t="inlineStr">
        <is>
          <t>A</t>
        </is>
      </c>
      <c r="BV3" s="15" t="inlineStr">
        <is>
          <t>C</t>
        </is>
      </c>
      <c r="BW3" s="15" t="inlineStr">
        <is>
          <t>B</t>
        </is>
      </c>
      <c r="BX3" s="19" t="inlineStr">
        <is>
          <t>C</t>
        </is>
      </c>
      <c r="BY3" s="15" t="inlineStr">
        <is>
          <t>A</t>
        </is>
      </c>
      <c r="BZ3" s="15" t="inlineStr">
        <is>
          <t>C</t>
        </is>
      </c>
      <c r="CA3" s="15" t="inlineStr">
        <is>
          <t>B</t>
        </is>
      </c>
      <c r="CB3" s="15" t="inlineStr">
        <is>
          <t>B</t>
        </is>
      </c>
      <c r="CC3" s="15" t="inlineStr">
        <is>
          <t>C</t>
        </is>
      </c>
      <c r="CD3" s="15" t="inlineStr">
        <is>
          <t>A</t>
        </is>
      </c>
      <c r="CE3" s="15" t="inlineStr">
        <is>
          <t>C</t>
        </is>
      </c>
      <c r="CF3" s="15" t="inlineStr">
        <is>
          <t>A</t>
        </is>
      </c>
      <c r="CG3" s="15" t="inlineStr">
        <is>
          <t>A</t>
        </is>
      </c>
      <c r="CH3" s="15" t="inlineStr">
        <is>
          <t>B</t>
        </is>
      </c>
      <c r="CI3" s="15" t="inlineStr">
        <is>
          <t>B</t>
        </is>
      </c>
      <c r="CJ3" s="15" t="inlineStr">
        <is>
          <t>D</t>
        </is>
      </c>
      <c r="CK3" s="15" t="inlineStr">
        <is>
          <t>A</t>
        </is>
      </c>
      <c r="CL3" s="15" t="inlineStr">
        <is>
          <t>C</t>
        </is>
      </c>
      <c r="CM3" s="15" t="inlineStr">
        <is>
          <t>B</t>
        </is>
      </c>
      <c r="CN3" s="15" t="inlineStr">
        <is>
          <t>B</t>
        </is>
      </c>
      <c r="CO3" s="15" t="inlineStr">
        <is>
          <t>D</t>
        </is>
      </c>
      <c r="CP3" s="15" t="inlineStr">
        <is>
          <t>A</t>
        </is>
      </c>
      <c r="CQ3" s="15" t="inlineStr">
        <is>
          <t>C</t>
        </is>
      </c>
      <c r="CR3" s="15" t="inlineStr">
        <is>
          <t>A</t>
        </is>
      </c>
      <c r="CS3" s="15" t="inlineStr">
        <is>
          <t>D</t>
        </is>
      </c>
      <c r="CT3" s="15" t="inlineStr">
        <is>
          <t>D</t>
        </is>
      </c>
      <c r="CU3" s="19" t="inlineStr">
        <is>
          <t>D</t>
        </is>
      </c>
      <c r="CV3" s="19" t="inlineStr">
        <is>
          <t>D</t>
        </is>
      </c>
    </row>
    <row r="4">
      <c r="A4" s="6" t="inlineStr">
        <is>
          <t>Kaïs</t>
        </is>
      </c>
      <c r="B4" s="6" t="inlineStr">
        <is>
          <t>FOFANA</t>
        </is>
      </c>
      <c r="C4" s="6" t="n"/>
      <c r="D4" s="6" t="n"/>
      <c r="E4" s="15"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n"/>
      <c r="CT4" s="6" t="n"/>
      <c r="CU4" s="6" t="n"/>
      <c r="CV4" s="6" t="n"/>
    </row>
    <row r="5">
      <c r="A5" s="6" t="n"/>
      <c r="B5" s="6" t="n"/>
      <c r="C5" s="6" t="n"/>
      <c r="D5" s="6" t="n"/>
      <c r="E5" s="6" t="n"/>
      <c r="F5" s="6" t="n"/>
      <c r="G5" s="6" t="n"/>
      <c r="H5" s="6" t="n"/>
      <c r="I5" s="6" t="n"/>
      <c r="J5" s="6" t="n"/>
      <c r="K5" s="6" t="n"/>
      <c r="L5" s="6" t="n"/>
      <c r="M5" s="6" t="n"/>
      <c r="N5" s="6" t="n"/>
      <c r="O5" s="6" t="n"/>
      <c r="P5" s="6" t="n"/>
      <c r="Q5" s="6" t="n"/>
      <c r="R5" s="6" t="n"/>
      <c r="S5" s="6" t="n"/>
      <c r="T5" s="6" t="n"/>
      <c r="U5" s="6" t="n"/>
      <c r="V5" s="6" t="n"/>
      <c r="W5" s="6" t="n"/>
      <c r="X5" s="6" t="n"/>
      <c r="Y5" s="6" t="n"/>
      <c r="Z5" s="6" t="n"/>
      <c r="AA5" s="6" t="n"/>
      <c r="AB5" s="6" t="n"/>
      <c r="AC5" s="6" t="n"/>
      <c r="AD5" s="6" t="n"/>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n"/>
      <c r="BQ5" s="6" t="n"/>
      <c r="BR5" s="6" t="n"/>
      <c r="BS5" s="6" t="n"/>
      <c r="BT5" s="6" t="n"/>
      <c r="BU5" s="6" t="n"/>
      <c r="BV5" s="6" t="n"/>
      <c r="BW5" s="6" t="n"/>
      <c r="BX5" s="6" t="n"/>
      <c r="BY5" s="6" t="n"/>
      <c r="BZ5" s="6" t="n"/>
      <c r="CA5" s="6" t="n"/>
      <c r="CB5" s="6" t="n"/>
      <c r="CC5" s="6" t="n"/>
      <c r="CD5" s="6" t="n"/>
      <c r="CE5" s="6" t="n"/>
      <c r="CF5" s="6" t="n"/>
      <c r="CG5" s="6" t="n"/>
      <c r="CH5" s="6" t="n"/>
      <c r="CI5" s="6" t="n"/>
      <c r="CJ5" s="6" t="n"/>
      <c r="CK5" s="6" t="n"/>
      <c r="CL5" s="6" t="n"/>
      <c r="CM5" s="6" t="n"/>
      <c r="CN5" s="6" t="n"/>
      <c r="CO5" s="6" t="n"/>
      <c r="CP5" s="6" t="n"/>
      <c r="CQ5" s="6" t="n"/>
      <c r="CR5" s="6" t="n"/>
      <c r="CS5" s="6" t="n"/>
      <c r="CT5" s="6" t="n"/>
      <c r="CU5" s="6" t="n"/>
      <c r="CV5" s="6" t="n"/>
    </row>
    <row r="6">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6" t="n"/>
      <c r="BP7" s="6" t="n"/>
      <c r="BQ7" s="6" t="n"/>
      <c r="BR7" s="6" t="n"/>
      <c r="BS7" s="6" t="n"/>
      <c r="BT7" s="6" t="n"/>
      <c r="BU7" s="6" t="n"/>
      <c r="BV7" s="6" t="n"/>
      <c r="BW7" s="6" t="n"/>
      <c r="BX7" s="6" t="n"/>
      <c r="BY7" s="6" t="n"/>
      <c r="BZ7" s="6" t="n"/>
      <c r="CA7" s="6" t="n"/>
      <c r="CB7" s="6" t="n"/>
      <c r="CC7" s="6" t="n"/>
      <c r="CD7" s="6" t="n"/>
      <c r="CE7" s="6" t="n"/>
      <c r="CF7" s="6" t="n"/>
      <c r="CG7" s="6" t="n"/>
      <c r="CH7" s="6" t="n"/>
      <c r="CI7" s="6" t="n"/>
      <c r="CJ7" s="6" t="n"/>
      <c r="CK7" s="6" t="n"/>
      <c r="CL7" s="6" t="n"/>
      <c r="CM7" s="6" t="n"/>
      <c r="CN7" s="6" t="n"/>
      <c r="CO7" s="6" t="n"/>
      <c r="CP7" s="6" t="n"/>
      <c r="CQ7" s="6" t="n"/>
      <c r="CR7" s="6" t="n"/>
      <c r="CS7" s="6" t="n"/>
      <c r="CT7" s="6" t="n"/>
      <c r="CU7" s="6" t="n"/>
      <c r="CV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6" t="n"/>
      <c r="BP8" s="6" t="n"/>
      <c r="BQ8" s="6" t="n"/>
      <c r="BR8" s="6" t="n"/>
      <c r="BS8" s="6" t="n"/>
      <c r="BT8" s="6" t="n"/>
      <c r="BU8" s="6" t="n"/>
      <c r="BV8" s="6" t="n"/>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n"/>
      <c r="CT8" s="6" t="n"/>
      <c r="CU8" s="6" t="n"/>
      <c r="CV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6" t="n"/>
      <c r="BP9" s="6" t="n"/>
      <c r="BQ9" s="6" t="n"/>
      <c r="BR9" s="6" t="n"/>
      <c r="BS9" s="6" t="n"/>
      <c r="BT9" s="6" t="n"/>
      <c r="BU9" s="6" t="n"/>
      <c r="BV9" s="6" t="n"/>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n"/>
      <c r="CT9" s="6" t="n"/>
      <c r="CU9" s="6" t="n"/>
      <c r="CV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n"/>
      <c r="BQ10" s="6" t="n"/>
      <c r="BR10" s="6" t="n"/>
      <c r="BS10" s="6" t="n"/>
      <c r="BT10" s="6" t="n"/>
      <c r="BU10" s="6" t="n"/>
      <c r="BV10" s="6" t="n"/>
      <c r="BW10" s="6" t="n"/>
      <c r="BX10" s="6" t="n"/>
      <c r="BY10" s="6" t="n"/>
      <c r="BZ10" s="6" t="n"/>
      <c r="CA10" s="6" t="n"/>
      <c r="CB10" s="6" t="n"/>
      <c r="CC10" s="6" t="n"/>
      <c r="CD10" s="6" t="n"/>
      <c r="CE10" s="6" t="n"/>
      <c r="CF10" s="6" t="n"/>
      <c r="CG10" s="6" t="n"/>
      <c r="CH10" s="6" t="n"/>
      <c r="CI10" s="6" t="n"/>
      <c r="CJ10" s="6" t="n"/>
      <c r="CK10" s="6" t="n"/>
      <c r="CL10" s="6" t="n"/>
      <c r="CM10" s="6" t="n"/>
      <c r="CN10" s="6" t="n"/>
      <c r="CO10" s="6" t="n"/>
      <c r="CP10" s="6" t="n"/>
      <c r="CQ10" s="6" t="n"/>
      <c r="CR10" s="6" t="n"/>
      <c r="CS10" s="6" t="n"/>
      <c r="CT10" s="6" t="n"/>
      <c r="CU10" s="6" t="n"/>
      <c r="CV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6" t="n"/>
      <c r="BP11" s="6" t="n"/>
      <c r="BQ11" s="6" t="n"/>
      <c r="BR11" s="6" t="n"/>
      <c r="BS11" s="6" t="n"/>
      <c r="BT11" s="6" t="n"/>
      <c r="BU11" s="6" t="n"/>
      <c r="BV11" s="6" t="n"/>
      <c r="BW11" s="6" t="n"/>
      <c r="BX11" s="6" t="n"/>
      <c r="BY11" s="6" t="n"/>
      <c r="BZ11" s="6" t="n"/>
      <c r="CA11" s="6" t="n"/>
      <c r="CB11" s="6" t="n"/>
      <c r="CC11" s="6" t="n"/>
      <c r="CD11" s="6" t="n"/>
      <c r="CE11" s="6" t="n"/>
      <c r="CF11" s="6" t="n"/>
      <c r="CG11" s="6" t="n"/>
      <c r="CH11" s="6" t="n"/>
      <c r="CI11" s="6" t="n"/>
      <c r="CJ11" s="6" t="n"/>
      <c r="CK11" s="6" t="n"/>
      <c r="CL11" s="6" t="n"/>
      <c r="CM11" s="6" t="n"/>
      <c r="CN11" s="6" t="n"/>
      <c r="CO11" s="6" t="n"/>
      <c r="CP11" s="6" t="n"/>
      <c r="CQ11" s="6" t="n"/>
      <c r="CR11" s="6" t="n"/>
      <c r="CS11" s="6" t="n"/>
      <c r="CT11" s="6" t="n"/>
      <c r="CU11" s="6" t="n"/>
      <c r="CV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n"/>
      <c r="CJ12" s="6" t="n"/>
      <c r="CK12" s="6" t="n"/>
      <c r="CL12" s="6" t="n"/>
      <c r="CM12" s="6" t="n"/>
      <c r="CN12" s="6" t="n"/>
      <c r="CO12" s="6" t="n"/>
      <c r="CP12" s="6" t="n"/>
      <c r="CQ12" s="6" t="n"/>
      <c r="CR12" s="6" t="n"/>
      <c r="CS12" s="6" t="n"/>
      <c r="CT12" s="6" t="n"/>
      <c r="CU12" s="6" t="n"/>
      <c r="CV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6" t="n"/>
      <c r="BP13" s="6" t="n"/>
      <c r="BQ13" s="6" t="n"/>
      <c r="BR13" s="6" t="n"/>
      <c r="BS13" s="6" t="n"/>
      <c r="BT13" s="6" t="n"/>
      <c r="BU13" s="6" t="n"/>
      <c r="BV13" s="6" t="n"/>
      <c r="BW13" s="6" t="n"/>
      <c r="BX13" s="6" t="n"/>
      <c r="BY13" s="6" t="n"/>
      <c r="BZ13" s="6" t="n"/>
      <c r="CA13" s="6" t="n"/>
      <c r="CB13" s="6" t="n"/>
      <c r="CC13" s="6" t="n"/>
      <c r="CD13" s="6" t="n"/>
      <c r="CE13" s="6" t="n"/>
      <c r="CF13" s="6" t="n"/>
      <c r="CG13" s="6" t="n"/>
      <c r="CH13" s="6" t="n"/>
      <c r="CI13" s="6" t="n"/>
      <c r="CJ13" s="6" t="n"/>
      <c r="CK13" s="6" t="n"/>
      <c r="CL13" s="6" t="n"/>
      <c r="CM13" s="6" t="n"/>
      <c r="CN13" s="6" t="n"/>
      <c r="CO13" s="6" t="n"/>
      <c r="CP13" s="6" t="n"/>
      <c r="CQ13" s="6" t="n"/>
      <c r="CR13" s="6" t="n"/>
      <c r="CS13" s="6" t="n"/>
      <c r="CT13" s="6" t="n"/>
      <c r="CU13" s="6" t="n"/>
      <c r="CV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6" t="n"/>
      <c r="BP14" s="6" t="n"/>
      <c r="BQ14" s="6" t="n"/>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c r="CM14" s="6" t="n"/>
      <c r="CN14" s="6" t="n"/>
      <c r="CO14" s="6" t="n"/>
      <c r="CP14" s="6" t="n"/>
      <c r="CQ14" s="6" t="n"/>
      <c r="CR14" s="6" t="n"/>
      <c r="CS14" s="6" t="n"/>
      <c r="CT14" s="6" t="n"/>
      <c r="CU14" s="6" t="n"/>
      <c r="CV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6" t="n"/>
      <c r="BP15" s="6" t="n"/>
      <c r="BQ15" s="6" t="n"/>
      <c r="BR15" s="6" t="n"/>
      <c r="BS15" s="6" t="n"/>
      <c r="BT15" s="6" t="n"/>
      <c r="BU15" s="6" t="n"/>
      <c r="BV15" s="6" t="n"/>
      <c r="BW15" s="6" t="n"/>
      <c r="BX15" s="6" t="n"/>
      <c r="BY15" s="6" t="n"/>
      <c r="BZ15" s="6" t="n"/>
      <c r="CA15" s="6" t="n"/>
      <c r="CB15" s="6" t="n"/>
      <c r="CC15" s="6" t="n"/>
      <c r="CD15" s="6" t="n"/>
      <c r="CE15" s="6" t="n"/>
      <c r="CF15" s="6" t="n"/>
      <c r="CG15" s="6" t="n"/>
      <c r="CH15" s="6" t="n"/>
      <c r="CI15" s="6" t="n"/>
      <c r="CJ15" s="6" t="n"/>
      <c r="CK15" s="6" t="n"/>
      <c r="CL15" s="6" t="n"/>
      <c r="CM15" s="6" t="n"/>
      <c r="CN15" s="6" t="n"/>
      <c r="CO15" s="6" t="n"/>
      <c r="CP15" s="6" t="n"/>
      <c r="CQ15" s="6" t="n"/>
      <c r="CR15" s="6" t="n"/>
      <c r="CS15" s="6" t="n"/>
      <c r="CT15" s="6" t="n"/>
      <c r="CU15" s="6" t="n"/>
      <c r="CV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6" t="n"/>
      <c r="BP16" s="6" t="n"/>
      <c r="BQ16" s="6" t="n"/>
      <c r="BR16" s="6" t="n"/>
      <c r="BS16" s="6" t="n"/>
      <c r="BT16" s="6" t="n"/>
      <c r="BU16" s="6" t="n"/>
      <c r="BV16" s="6" t="n"/>
      <c r="BW16" s="6" t="n"/>
      <c r="BX16" s="6" t="n"/>
      <c r="BY16" s="6" t="n"/>
      <c r="BZ16" s="6" t="n"/>
      <c r="CA16" s="6" t="n"/>
      <c r="CB16" s="6" t="n"/>
      <c r="CC16" s="6" t="n"/>
      <c r="CD16" s="6" t="n"/>
      <c r="CE16" s="6" t="n"/>
      <c r="CF16" s="6" t="n"/>
      <c r="CG16" s="6" t="n"/>
      <c r="CH16" s="6" t="n"/>
      <c r="CI16" s="6" t="n"/>
      <c r="CJ16" s="6" t="n"/>
      <c r="CK16" s="6" t="n"/>
      <c r="CL16" s="6" t="n"/>
      <c r="CM16" s="6" t="n"/>
      <c r="CN16" s="6" t="n"/>
      <c r="CO16" s="6" t="n"/>
      <c r="CP16" s="6" t="n"/>
      <c r="CQ16" s="6" t="n"/>
      <c r="CR16" s="6" t="n"/>
      <c r="CS16" s="6" t="n"/>
      <c r="CT16" s="6" t="n"/>
      <c r="CU16" s="6" t="n"/>
      <c r="CV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n"/>
      <c r="CJ17" s="6" t="n"/>
      <c r="CK17" s="6" t="n"/>
      <c r="CL17" s="6" t="n"/>
      <c r="CM17" s="6" t="n"/>
      <c r="CN17" s="6" t="n"/>
      <c r="CO17" s="6" t="n"/>
      <c r="CP17" s="6" t="n"/>
      <c r="CQ17" s="6" t="n"/>
      <c r="CR17" s="6" t="n"/>
      <c r="CS17" s="6" t="n"/>
      <c r="CT17" s="6" t="n"/>
      <c r="CU17" s="6" t="n"/>
      <c r="CV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n"/>
      <c r="CJ18" s="6" t="n"/>
      <c r="CK18" s="6" t="n"/>
      <c r="CL18" s="6" t="n"/>
      <c r="CM18" s="6" t="n"/>
      <c r="CN18" s="6" t="n"/>
      <c r="CO18" s="6" t="n"/>
      <c r="CP18" s="6" t="n"/>
      <c r="CQ18" s="6" t="n"/>
      <c r="CR18" s="6" t="n"/>
      <c r="CS18" s="6" t="n"/>
      <c r="CT18" s="6" t="n"/>
      <c r="CU18" s="6" t="n"/>
      <c r="CV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c r="BJ19" s="6" t="n"/>
      <c r="BK19" s="6" t="n"/>
      <c r="BL19" s="6" t="n"/>
      <c r="BM19" s="6" t="n"/>
      <c r="BN19" s="6" t="n"/>
      <c r="BO19" s="6" t="n"/>
      <c r="BP19" s="6" t="n"/>
      <c r="BQ19" s="6" t="n"/>
      <c r="BR19" s="6" t="n"/>
      <c r="BS19" s="6" t="n"/>
      <c r="BT19" s="6" t="n"/>
      <c r="BU19" s="6" t="n"/>
      <c r="BV19" s="6" t="n"/>
      <c r="BW19" s="6" t="n"/>
      <c r="BX19" s="6" t="n"/>
      <c r="BY19" s="6" t="n"/>
      <c r="BZ19" s="6" t="n"/>
      <c r="CA19" s="6" t="n"/>
      <c r="CB19" s="6" t="n"/>
      <c r="CC19" s="6" t="n"/>
      <c r="CD19" s="6" t="n"/>
      <c r="CE19" s="6" t="n"/>
      <c r="CF19" s="6" t="n"/>
      <c r="CG19" s="6" t="n"/>
      <c r="CH19" s="6" t="n"/>
      <c r="CI19" s="6" t="n"/>
      <c r="CJ19" s="6" t="n"/>
      <c r="CK19" s="6" t="n"/>
      <c r="CL19" s="6" t="n"/>
      <c r="CM19" s="6" t="n"/>
      <c r="CN19" s="6" t="n"/>
      <c r="CO19" s="6" t="n"/>
      <c r="CP19" s="6" t="n"/>
      <c r="CQ19" s="6" t="n"/>
      <c r="CR19" s="6" t="n"/>
      <c r="CS19" s="6" t="n"/>
      <c r="CT19" s="6" t="n"/>
      <c r="CU19" s="6" t="n"/>
      <c r="CV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c r="BJ20" s="6" t="n"/>
      <c r="BK20" s="6" t="n"/>
      <c r="BL20" s="6" t="n"/>
      <c r="BM20" s="6" t="n"/>
      <c r="BN20" s="6" t="n"/>
      <c r="BO20" s="6" t="n"/>
      <c r="BP20" s="6" t="n"/>
      <c r="BQ20" s="6" t="n"/>
      <c r="BR20" s="6" t="n"/>
      <c r="BS20" s="6" t="n"/>
      <c r="BT20" s="6" t="n"/>
      <c r="BU20" s="6" t="n"/>
      <c r="BV20" s="6" t="n"/>
      <c r="BW20" s="6" t="n"/>
      <c r="BX20" s="6" t="n"/>
      <c r="BY20" s="6" t="n"/>
      <c r="BZ20" s="6" t="n"/>
      <c r="CA20" s="6" t="n"/>
      <c r="CB20" s="6" t="n"/>
      <c r="CC20" s="6" t="n"/>
      <c r="CD20" s="6" t="n"/>
      <c r="CE20" s="6" t="n"/>
      <c r="CF20" s="6" t="n"/>
      <c r="CG20" s="6" t="n"/>
      <c r="CH20" s="6" t="n"/>
      <c r="CI20" s="6" t="n"/>
      <c r="CJ20" s="6" t="n"/>
      <c r="CK20" s="6" t="n"/>
      <c r="CL20" s="6" t="n"/>
      <c r="CM20" s="6" t="n"/>
      <c r="CN20" s="6" t="n"/>
      <c r="CO20" s="6" t="n"/>
      <c r="CP20" s="6" t="n"/>
      <c r="CQ20" s="6" t="n"/>
      <c r="CR20" s="6" t="n"/>
      <c r="CS20" s="6" t="n"/>
      <c r="CT20" s="6" t="n"/>
      <c r="CU20" s="6" t="n"/>
      <c r="CV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c r="BJ21" s="6" t="n"/>
      <c r="BK21" s="6" t="n"/>
      <c r="BL21" s="6" t="n"/>
      <c r="BM21" s="6" t="n"/>
      <c r="BN21" s="6" t="n"/>
      <c r="BO21" s="6" t="n"/>
      <c r="BP21" s="6" t="n"/>
      <c r="BQ21" s="6" t="n"/>
      <c r="BR21" s="6" t="n"/>
      <c r="BS21" s="6" t="n"/>
      <c r="BT21" s="6" t="n"/>
      <c r="BU21" s="6" t="n"/>
      <c r="BV21" s="6" t="n"/>
      <c r="BW21" s="6" t="n"/>
      <c r="BX21" s="6" t="n"/>
      <c r="BY21" s="6" t="n"/>
      <c r="BZ21" s="6" t="n"/>
      <c r="CA21" s="6" t="n"/>
      <c r="CB21" s="6" t="n"/>
      <c r="CC21" s="6" t="n"/>
      <c r="CD21" s="6" t="n"/>
      <c r="CE21" s="6" t="n"/>
      <c r="CF21" s="6" t="n"/>
      <c r="CG21" s="6" t="n"/>
      <c r="CH21" s="6" t="n"/>
      <c r="CI21" s="6" t="n"/>
      <c r="CJ21" s="6" t="n"/>
      <c r="CK21" s="6" t="n"/>
      <c r="CL21" s="6" t="n"/>
      <c r="CM21" s="6" t="n"/>
      <c r="CN21" s="6" t="n"/>
      <c r="CO21" s="6" t="n"/>
      <c r="CP21" s="6" t="n"/>
      <c r="CQ21" s="6" t="n"/>
      <c r="CR21" s="6" t="n"/>
      <c r="CS21" s="6" t="n"/>
      <c r="CT21" s="6" t="n"/>
      <c r="CU21" s="6" t="n"/>
      <c r="CV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c r="BJ22" s="6" t="n"/>
      <c r="BK22" s="6" t="n"/>
      <c r="BL22" s="6" t="n"/>
      <c r="BM22" s="6" t="n"/>
      <c r="BN22" s="6" t="n"/>
      <c r="BO22" s="6" t="n"/>
      <c r="BP22" s="6" t="n"/>
      <c r="BQ22" s="6" t="n"/>
      <c r="BR22" s="6" t="n"/>
      <c r="BS22" s="6" t="n"/>
      <c r="BT22" s="6" t="n"/>
      <c r="BU22" s="6" t="n"/>
      <c r="BV22" s="6" t="n"/>
      <c r="BW22" s="6" t="n"/>
      <c r="BX22" s="6" t="n"/>
      <c r="BY22" s="6" t="n"/>
      <c r="BZ22" s="6" t="n"/>
      <c r="CA22" s="6" t="n"/>
      <c r="CB22" s="6" t="n"/>
      <c r="CC22" s="6" t="n"/>
      <c r="CD22" s="6" t="n"/>
      <c r="CE22" s="6" t="n"/>
      <c r="CF22" s="6" t="n"/>
      <c r="CG22" s="6" t="n"/>
      <c r="CH22" s="6" t="n"/>
      <c r="CI22" s="6" t="n"/>
      <c r="CJ22" s="6" t="n"/>
      <c r="CK22" s="6" t="n"/>
      <c r="CL22" s="6" t="n"/>
      <c r="CM22" s="6" t="n"/>
      <c r="CN22" s="6" t="n"/>
      <c r="CO22" s="6" t="n"/>
      <c r="CP22" s="6" t="n"/>
      <c r="CQ22" s="6" t="n"/>
      <c r="CR22" s="6" t="n"/>
      <c r="CS22" s="6" t="n"/>
      <c r="CT22" s="6" t="n"/>
      <c r="CU22" s="6" t="n"/>
      <c r="CV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c r="BJ23" s="6" t="n"/>
      <c r="BK23" s="6" t="n"/>
      <c r="BL23" s="6" t="n"/>
      <c r="BM23" s="6" t="n"/>
      <c r="BN23" s="6" t="n"/>
      <c r="BO23" s="6" t="n"/>
      <c r="BP23" s="6" t="n"/>
      <c r="BQ23" s="6" t="n"/>
      <c r="BR23" s="6" t="n"/>
      <c r="BS23" s="6" t="n"/>
      <c r="BT23" s="6" t="n"/>
      <c r="BU23" s="6" t="n"/>
      <c r="BV23" s="6" t="n"/>
      <c r="BW23" s="6" t="n"/>
      <c r="BX23" s="6" t="n"/>
      <c r="BY23" s="6" t="n"/>
      <c r="BZ23" s="6" t="n"/>
      <c r="CA23" s="6" t="n"/>
      <c r="CB23" s="6" t="n"/>
      <c r="CC23" s="6" t="n"/>
      <c r="CD23" s="6" t="n"/>
      <c r="CE23" s="6" t="n"/>
      <c r="CF23" s="6" t="n"/>
      <c r="CG23" s="6" t="n"/>
      <c r="CH23" s="6" t="n"/>
      <c r="CI23" s="6" t="n"/>
      <c r="CJ23" s="6" t="n"/>
      <c r="CK23" s="6" t="n"/>
      <c r="CL23" s="6" t="n"/>
      <c r="CM23" s="6" t="n"/>
      <c r="CN23" s="6" t="n"/>
      <c r="CO23" s="6" t="n"/>
      <c r="CP23" s="6" t="n"/>
      <c r="CQ23" s="6" t="n"/>
      <c r="CR23" s="6" t="n"/>
      <c r="CS23" s="6" t="n"/>
      <c r="CT23" s="6" t="n"/>
      <c r="CU23" s="6" t="n"/>
      <c r="CV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6" t="n"/>
      <c r="BQ24" s="6" t="n"/>
      <c r="BR24" s="6" t="n"/>
      <c r="BS24" s="6" t="n"/>
      <c r="BT24" s="6" t="n"/>
      <c r="BU24" s="6" t="n"/>
      <c r="BV24" s="6" t="n"/>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n"/>
      <c r="CT24" s="6" t="n"/>
      <c r="CU24" s="6" t="n"/>
      <c r="CV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6" t="n"/>
      <c r="BQ25" s="6" t="n"/>
      <c r="BR25" s="6" t="n"/>
      <c r="BS25" s="6" t="n"/>
      <c r="BT25" s="6" t="n"/>
      <c r="BU25" s="6" t="n"/>
      <c r="BV25" s="6" t="n"/>
      <c r="BW25" s="6" t="n"/>
      <c r="BX25" s="6" t="n"/>
      <c r="BY25" s="6" t="n"/>
      <c r="BZ25" s="6" t="n"/>
      <c r="CA25" s="6" t="n"/>
      <c r="CB25" s="6" t="n"/>
      <c r="CC25" s="6" t="n"/>
      <c r="CD25" s="6" t="n"/>
      <c r="CE25" s="6" t="n"/>
      <c r="CF25" s="6" t="n"/>
      <c r="CG25" s="6" t="n"/>
      <c r="CH25" s="6" t="n"/>
      <c r="CI25" s="6" t="n"/>
      <c r="CJ25" s="6" t="n"/>
      <c r="CK25" s="6" t="n"/>
      <c r="CL25" s="6" t="n"/>
      <c r="CM25" s="6" t="n"/>
      <c r="CN25" s="6" t="n"/>
      <c r="CO25" s="6" t="n"/>
      <c r="CP25" s="6" t="n"/>
      <c r="CQ25" s="6" t="n"/>
      <c r="CR25" s="6" t="n"/>
      <c r="CS25" s="6" t="n"/>
      <c r="CT25" s="6" t="n"/>
      <c r="CU25" s="6" t="n"/>
      <c r="CV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n"/>
      <c r="CJ26" s="6" t="n"/>
      <c r="CK26" s="6" t="n"/>
      <c r="CL26" s="6" t="n"/>
      <c r="CM26" s="6" t="n"/>
      <c r="CN26" s="6" t="n"/>
      <c r="CO26" s="6" t="n"/>
      <c r="CP26" s="6" t="n"/>
      <c r="CQ26" s="6" t="n"/>
      <c r="CR26" s="6" t="n"/>
      <c r="CS26" s="6" t="n"/>
      <c r="CT26" s="6" t="n"/>
      <c r="CU26" s="6" t="n"/>
      <c r="CV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n"/>
      <c r="CJ27" s="6" t="n"/>
      <c r="CK27" s="6" t="n"/>
      <c r="CL27" s="6" t="n"/>
      <c r="CM27" s="6" t="n"/>
      <c r="CN27" s="6" t="n"/>
      <c r="CO27" s="6" t="n"/>
      <c r="CP27" s="6" t="n"/>
      <c r="CQ27" s="6" t="n"/>
      <c r="CR27" s="6" t="n"/>
      <c r="CS27" s="6" t="n"/>
      <c r="CT27" s="6" t="n"/>
      <c r="CU27" s="6" t="n"/>
      <c r="CV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6" t="n"/>
      <c r="BQ28" s="6" t="n"/>
      <c r="BR28" s="6" t="n"/>
      <c r="BS28" s="6" t="n"/>
      <c r="BT28" s="6" t="n"/>
      <c r="BU28" s="6" t="n"/>
      <c r="BV28" s="6" t="n"/>
      <c r="BW28" s="6" t="n"/>
      <c r="BX28" s="6" t="n"/>
      <c r="BY28" s="6" t="n"/>
      <c r="BZ28" s="6" t="n"/>
      <c r="CA28" s="6" t="n"/>
      <c r="CB28" s="6" t="n"/>
      <c r="CC28" s="6" t="n"/>
      <c r="CD28" s="6" t="n"/>
      <c r="CE28" s="6" t="n"/>
      <c r="CF28" s="6" t="n"/>
      <c r="CG28" s="6" t="n"/>
      <c r="CH28" s="6" t="n"/>
      <c r="CI28" s="6" t="n"/>
      <c r="CJ28" s="6" t="n"/>
      <c r="CK28" s="6" t="n"/>
      <c r="CL28" s="6" t="n"/>
      <c r="CM28" s="6" t="n"/>
      <c r="CN28" s="6" t="n"/>
      <c r="CO28" s="6" t="n"/>
      <c r="CP28" s="6" t="n"/>
      <c r="CQ28" s="6" t="n"/>
      <c r="CR28" s="6" t="n"/>
      <c r="CS28" s="6" t="n"/>
      <c r="CT28" s="6" t="n"/>
      <c r="CU28" s="6" t="n"/>
      <c r="CV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6" t="n"/>
      <c r="BP29" s="6" t="n"/>
      <c r="BQ29" s="6" t="n"/>
      <c r="BR29" s="6" t="n"/>
      <c r="BS29" s="6" t="n"/>
      <c r="BT29" s="6" t="n"/>
      <c r="BU29" s="6" t="n"/>
      <c r="BV29" s="6" t="n"/>
      <c r="BW29" s="6" t="n"/>
      <c r="BX29" s="6" t="n"/>
      <c r="BY29" s="6" t="n"/>
      <c r="BZ29" s="6" t="n"/>
      <c r="CA29" s="6" t="n"/>
      <c r="CB29" s="6" t="n"/>
      <c r="CC29" s="6" t="n"/>
      <c r="CD29" s="6" t="n"/>
      <c r="CE29" s="6" t="n"/>
      <c r="CF29" s="6" t="n"/>
      <c r="CG29" s="6" t="n"/>
      <c r="CH29" s="6" t="n"/>
      <c r="CI29" s="6" t="n"/>
      <c r="CJ29" s="6" t="n"/>
      <c r="CK29" s="6" t="n"/>
      <c r="CL29" s="6" t="n"/>
      <c r="CM29" s="6" t="n"/>
      <c r="CN29" s="6" t="n"/>
      <c r="CO29" s="6" t="n"/>
      <c r="CP29" s="6" t="n"/>
      <c r="CQ29" s="6" t="n"/>
      <c r="CR29" s="6" t="n"/>
      <c r="CS29" s="6" t="n"/>
      <c r="CT29" s="6" t="n"/>
      <c r="CU29" s="6" t="n"/>
      <c r="CV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n"/>
      <c r="BP30" s="6" t="n"/>
      <c r="BQ30" s="6" t="n"/>
      <c r="BR30" s="6" t="n"/>
      <c r="BS30" s="6" t="n"/>
      <c r="BT30" s="6" t="n"/>
      <c r="BU30" s="6" t="n"/>
      <c r="BV30" s="6" t="n"/>
      <c r="BW30" s="6" t="n"/>
      <c r="BX30" s="6" t="n"/>
      <c r="BY30" s="6" t="n"/>
      <c r="BZ30" s="6" t="n"/>
      <c r="CA30" s="6" t="n"/>
      <c r="CB30" s="6" t="n"/>
      <c r="CC30" s="6" t="n"/>
      <c r="CD30" s="6" t="n"/>
      <c r="CE30" s="6" t="n"/>
      <c r="CF30" s="6" t="n"/>
      <c r="CG30" s="6" t="n"/>
      <c r="CH30" s="6" t="n"/>
      <c r="CI30" s="6" t="n"/>
      <c r="CJ30" s="6" t="n"/>
      <c r="CK30" s="6" t="n"/>
      <c r="CL30" s="6" t="n"/>
      <c r="CM30" s="6" t="n"/>
      <c r="CN30" s="6" t="n"/>
      <c r="CO30" s="6" t="n"/>
      <c r="CP30" s="6" t="n"/>
      <c r="CQ30" s="6" t="n"/>
      <c r="CR30" s="6" t="n"/>
      <c r="CS30" s="6" t="n"/>
      <c r="CT30" s="6" t="n"/>
      <c r="CU30" s="6" t="n"/>
      <c r="CV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n"/>
      <c r="CJ31" s="6" t="n"/>
      <c r="CK31" s="6" t="n"/>
      <c r="CL31" s="6" t="n"/>
      <c r="CM31" s="6" t="n"/>
      <c r="CN31" s="6" t="n"/>
      <c r="CO31" s="6" t="n"/>
      <c r="CP31" s="6" t="n"/>
      <c r="CQ31" s="6" t="n"/>
      <c r="CR31" s="6" t="n"/>
      <c r="CS31" s="6" t="n"/>
      <c r="CT31" s="6" t="n"/>
      <c r="CU31" s="6" t="n"/>
      <c r="CV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n"/>
      <c r="CJ32" s="6" t="n"/>
      <c r="CK32" s="6" t="n"/>
      <c r="CL32" s="6" t="n"/>
      <c r="CM32" s="6" t="n"/>
      <c r="CN32" s="6" t="n"/>
      <c r="CO32" s="6" t="n"/>
      <c r="CP32" s="6" t="n"/>
      <c r="CQ32" s="6" t="n"/>
      <c r="CR32" s="6" t="n"/>
      <c r="CS32" s="6" t="n"/>
      <c r="CT32" s="6" t="n"/>
      <c r="CU32" s="6" t="n"/>
      <c r="CV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n"/>
      <c r="CJ33" s="6" t="n"/>
      <c r="CK33" s="6" t="n"/>
      <c r="CL33" s="6" t="n"/>
      <c r="CM33" s="6" t="n"/>
      <c r="CN33" s="6" t="n"/>
      <c r="CO33" s="6" t="n"/>
      <c r="CP33" s="6" t="n"/>
      <c r="CQ33" s="6" t="n"/>
      <c r="CR33" s="6" t="n"/>
      <c r="CS33" s="6" t="n"/>
      <c r="CT33" s="6" t="n"/>
      <c r="CU33" s="6" t="n"/>
      <c r="CV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n"/>
      <c r="CJ34" s="6" t="n"/>
      <c r="CK34" s="6" t="n"/>
      <c r="CL34" s="6" t="n"/>
      <c r="CM34" s="6" t="n"/>
      <c r="CN34" s="6" t="n"/>
      <c r="CO34" s="6" t="n"/>
      <c r="CP34" s="6" t="n"/>
      <c r="CQ34" s="6" t="n"/>
      <c r="CR34" s="6" t="n"/>
      <c r="CS34" s="6" t="n"/>
      <c r="CT34" s="6" t="n"/>
      <c r="CU34" s="6" t="n"/>
      <c r="CV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c r="BJ35" s="6" t="n"/>
      <c r="BK35" s="6" t="n"/>
      <c r="BL35" s="6" t="n"/>
      <c r="BM35" s="6" t="n"/>
      <c r="BN35" s="6" t="n"/>
      <c r="BO35" s="6"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n"/>
      <c r="CJ35" s="6" t="n"/>
      <c r="CK35" s="6" t="n"/>
      <c r="CL35" s="6" t="n"/>
      <c r="CM35" s="6" t="n"/>
      <c r="CN35" s="6" t="n"/>
      <c r="CO35" s="6" t="n"/>
      <c r="CP35" s="6" t="n"/>
      <c r="CQ35" s="6" t="n"/>
      <c r="CR35" s="6" t="n"/>
      <c r="CS35" s="6" t="n"/>
      <c r="CT35" s="6" t="n"/>
      <c r="CU35" s="6" t="n"/>
      <c r="CV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c r="BJ36" s="6" t="n"/>
      <c r="BK36" s="6" t="n"/>
      <c r="BL36" s="6" t="n"/>
      <c r="BM36" s="6" t="n"/>
      <c r="BN36" s="6" t="n"/>
      <c r="BO36" s="6" t="n"/>
      <c r="BP36" s="6" t="n"/>
      <c r="BQ36" s="6" t="n"/>
      <c r="BR36" s="6" t="n"/>
      <c r="BS36" s="6" t="n"/>
      <c r="BT36" s="6" t="n"/>
      <c r="BU36" s="6" t="n"/>
      <c r="BV36" s="6" t="n"/>
      <c r="BW36" s="6" t="n"/>
      <c r="BX36" s="6" t="n"/>
      <c r="BY36" s="6" t="n"/>
      <c r="BZ36" s="6" t="n"/>
      <c r="CA36" s="6" t="n"/>
      <c r="CB36" s="6" t="n"/>
      <c r="CC36" s="6" t="n"/>
      <c r="CD36" s="6" t="n"/>
      <c r="CE36" s="6" t="n"/>
      <c r="CF36" s="6" t="n"/>
      <c r="CG36" s="6" t="n"/>
      <c r="CH36" s="6" t="n"/>
      <c r="CI36" s="6" t="n"/>
      <c r="CJ36" s="6" t="n"/>
      <c r="CK36" s="6" t="n"/>
      <c r="CL36" s="6" t="n"/>
      <c r="CM36" s="6" t="n"/>
      <c r="CN36" s="6" t="n"/>
      <c r="CO36" s="6" t="n"/>
      <c r="CP36" s="6" t="n"/>
      <c r="CQ36" s="6" t="n"/>
      <c r="CR36" s="6" t="n"/>
      <c r="CS36" s="6" t="n"/>
      <c r="CT36" s="6" t="n"/>
      <c r="CU36" s="6" t="n"/>
      <c r="CV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c r="AA37" s="6" t="n"/>
      <c r="AB37" s="6" t="n"/>
      <c r="AC37" s="6" t="n"/>
      <c r="AD37" s="6" t="n"/>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n"/>
      <c r="CJ37" s="6" t="n"/>
      <c r="CK37" s="6" t="n"/>
      <c r="CL37" s="6" t="n"/>
      <c r="CM37" s="6" t="n"/>
      <c r="CN37" s="6" t="n"/>
      <c r="CO37" s="6" t="n"/>
      <c r="CP37" s="6" t="n"/>
      <c r="CQ37" s="6" t="n"/>
      <c r="CR37" s="6" t="n"/>
      <c r="CS37" s="6" t="n"/>
      <c r="CT37" s="6" t="n"/>
      <c r="CU37" s="6" t="n"/>
      <c r="CV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n"/>
      <c r="CJ38" s="6" t="n"/>
      <c r="CK38" s="6" t="n"/>
      <c r="CL38" s="6" t="n"/>
      <c r="CM38" s="6" t="n"/>
      <c r="CN38" s="6" t="n"/>
      <c r="CO38" s="6" t="n"/>
      <c r="CP38" s="6" t="n"/>
      <c r="CQ38" s="6" t="n"/>
      <c r="CR38" s="6" t="n"/>
      <c r="CS38" s="6" t="n"/>
      <c r="CT38" s="6" t="n"/>
      <c r="CU38" s="6" t="n"/>
      <c r="CV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n"/>
      <c r="CJ39" s="6" t="n"/>
      <c r="CK39" s="6" t="n"/>
      <c r="CL39" s="6" t="n"/>
      <c r="CM39" s="6" t="n"/>
      <c r="CN39" s="6" t="n"/>
      <c r="CO39" s="6" t="n"/>
      <c r="CP39" s="6" t="n"/>
      <c r="CQ39" s="6" t="n"/>
      <c r="CR39" s="6" t="n"/>
      <c r="CS39" s="6" t="n"/>
      <c r="CT39" s="6" t="n"/>
      <c r="CU39" s="6" t="n"/>
      <c r="CV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n"/>
      <c r="CJ40" s="6" t="n"/>
      <c r="CK40" s="6" t="n"/>
      <c r="CL40" s="6" t="n"/>
      <c r="CM40" s="6" t="n"/>
      <c r="CN40" s="6" t="n"/>
      <c r="CO40" s="6" t="n"/>
      <c r="CP40" s="6" t="n"/>
      <c r="CQ40" s="6" t="n"/>
      <c r="CR40" s="6" t="n"/>
      <c r="CS40" s="6" t="n"/>
      <c r="CT40" s="6" t="n"/>
      <c r="CU40" s="6" t="n"/>
      <c r="CV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c r="AA41" s="6" t="n"/>
      <c r="AB41" s="6" t="n"/>
      <c r="AC41" s="6" t="n"/>
      <c r="AD41" s="6" t="n"/>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n"/>
      <c r="CJ41" s="6" t="n"/>
      <c r="CK41" s="6" t="n"/>
      <c r="CL41" s="6" t="n"/>
      <c r="CM41" s="6" t="n"/>
      <c r="CN41" s="6" t="n"/>
      <c r="CO41" s="6" t="n"/>
      <c r="CP41" s="6" t="n"/>
      <c r="CQ41" s="6" t="n"/>
      <c r="CR41" s="6" t="n"/>
      <c r="CS41" s="6" t="n"/>
      <c r="CT41" s="6" t="n"/>
      <c r="CU41" s="6" t="n"/>
      <c r="CV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6" t="n"/>
      <c r="BP42" s="6" t="n"/>
      <c r="BQ42" s="6" t="n"/>
      <c r="BR42" s="6" t="n"/>
      <c r="BS42" s="6" t="n"/>
      <c r="BT42" s="6" t="n"/>
      <c r="BU42" s="6" t="n"/>
      <c r="BV42" s="6" t="n"/>
      <c r="BW42" s="6" t="n"/>
      <c r="BX42" s="6" t="n"/>
      <c r="BY42" s="6" t="n"/>
      <c r="BZ42" s="6" t="n"/>
      <c r="CA42" s="6" t="n"/>
      <c r="CB42" s="6" t="n"/>
      <c r="CC42" s="6" t="n"/>
      <c r="CD42" s="6" t="n"/>
      <c r="CE42" s="6" t="n"/>
      <c r="CF42" s="6" t="n"/>
      <c r="CG42" s="6" t="n"/>
      <c r="CH42" s="6" t="n"/>
      <c r="CI42" s="6" t="n"/>
      <c r="CJ42" s="6" t="n"/>
      <c r="CK42" s="6" t="n"/>
      <c r="CL42" s="6" t="n"/>
      <c r="CM42" s="6" t="n"/>
      <c r="CN42" s="6" t="n"/>
      <c r="CO42" s="6" t="n"/>
      <c r="CP42" s="6" t="n"/>
      <c r="CQ42" s="6" t="n"/>
      <c r="CR42" s="6" t="n"/>
      <c r="CS42" s="6" t="n"/>
      <c r="CT42" s="6" t="n"/>
      <c r="CU42" s="6" t="n"/>
      <c r="CV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n"/>
      <c r="AD43" s="6" t="n"/>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n"/>
      <c r="CJ43" s="6" t="n"/>
      <c r="CK43" s="6" t="n"/>
      <c r="CL43" s="6" t="n"/>
      <c r="CM43" s="6" t="n"/>
      <c r="CN43" s="6" t="n"/>
      <c r="CO43" s="6" t="n"/>
      <c r="CP43" s="6" t="n"/>
      <c r="CQ43" s="6" t="n"/>
      <c r="CR43" s="6" t="n"/>
      <c r="CS43" s="6" t="n"/>
      <c r="CT43" s="6" t="n"/>
      <c r="CU43" s="6" t="n"/>
      <c r="CV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n"/>
      <c r="CJ44" s="6" t="n"/>
      <c r="CK44" s="6" t="n"/>
      <c r="CL44" s="6" t="n"/>
      <c r="CM44" s="6" t="n"/>
      <c r="CN44" s="6" t="n"/>
      <c r="CO44" s="6" t="n"/>
      <c r="CP44" s="6" t="n"/>
      <c r="CQ44" s="6" t="n"/>
      <c r="CR44" s="6" t="n"/>
      <c r="CS44" s="6" t="n"/>
      <c r="CT44" s="6" t="n"/>
      <c r="CU44" s="6" t="n"/>
      <c r="CV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n"/>
      <c r="CJ45" s="6" t="n"/>
      <c r="CK45" s="6" t="n"/>
      <c r="CL45" s="6" t="n"/>
      <c r="CM45" s="6" t="n"/>
      <c r="CN45" s="6" t="n"/>
      <c r="CO45" s="6" t="n"/>
      <c r="CP45" s="6" t="n"/>
      <c r="CQ45" s="6" t="n"/>
      <c r="CR45" s="6" t="n"/>
      <c r="CS45" s="6" t="n"/>
      <c r="CT45" s="6" t="n"/>
      <c r="CU45" s="6" t="n"/>
      <c r="CV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6" t="n"/>
      <c r="BP46" s="6" t="n"/>
      <c r="BQ46" s="6" t="n"/>
      <c r="BR46" s="6" t="n"/>
      <c r="BS46" s="6" t="n"/>
      <c r="BT46" s="6" t="n"/>
      <c r="BU46" s="6" t="n"/>
      <c r="BV46" s="6" t="n"/>
      <c r="BW46" s="6" t="n"/>
      <c r="BX46" s="6" t="n"/>
      <c r="BY46" s="6" t="n"/>
      <c r="BZ46" s="6" t="n"/>
      <c r="CA46" s="6" t="n"/>
      <c r="CB46" s="6" t="n"/>
      <c r="CC46" s="6" t="n"/>
      <c r="CD46" s="6" t="n"/>
      <c r="CE46" s="6" t="n"/>
      <c r="CF46" s="6" t="n"/>
      <c r="CG46" s="6" t="n"/>
      <c r="CH46" s="6" t="n"/>
      <c r="CI46" s="6" t="n"/>
      <c r="CJ46" s="6" t="n"/>
      <c r="CK46" s="6" t="n"/>
      <c r="CL46" s="6" t="n"/>
      <c r="CM46" s="6" t="n"/>
      <c r="CN46" s="6" t="n"/>
      <c r="CO46" s="6" t="n"/>
      <c r="CP46" s="6" t="n"/>
      <c r="CQ46" s="6" t="n"/>
      <c r="CR46" s="6" t="n"/>
      <c r="CS46" s="6" t="n"/>
      <c r="CT46" s="6" t="n"/>
      <c r="CU46" s="6" t="n"/>
      <c r="CV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c r="AA47" s="6" t="n"/>
      <c r="AB47" s="6" t="n"/>
      <c r="AC47" s="6" t="n"/>
      <c r="AD47" s="6" t="n"/>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n"/>
      <c r="CJ47" s="6" t="n"/>
      <c r="CK47" s="6" t="n"/>
      <c r="CL47" s="6" t="n"/>
      <c r="CM47" s="6" t="n"/>
      <c r="CN47" s="6" t="n"/>
      <c r="CO47" s="6" t="n"/>
      <c r="CP47" s="6" t="n"/>
      <c r="CQ47" s="6" t="n"/>
      <c r="CR47" s="6" t="n"/>
      <c r="CS47" s="6" t="n"/>
      <c r="CT47" s="6" t="n"/>
      <c r="CU47" s="6" t="n"/>
      <c r="CV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6" t="n"/>
      <c r="BP48" s="6" t="n"/>
      <c r="BQ48" s="6" t="n"/>
      <c r="BR48" s="6" t="n"/>
      <c r="BS48" s="6" t="n"/>
      <c r="BT48" s="6" t="n"/>
      <c r="BU48" s="6" t="n"/>
      <c r="BV48" s="6" t="n"/>
      <c r="BW48" s="6" t="n"/>
      <c r="BX48" s="6" t="n"/>
      <c r="BY48" s="6" t="n"/>
      <c r="BZ48" s="6" t="n"/>
      <c r="CA48" s="6" t="n"/>
      <c r="CB48" s="6" t="n"/>
      <c r="CC48" s="6" t="n"/>
      <c r="CD48" s="6" t="n"/>
      <c r="CE48" s="6" t="n"/>
      <c r="CF48" s="6" t="n"/>
      <c r="CG48" s="6" t="n"/>
      <c r="CH48" s="6" t="n"/>
      <c r="CI48" s="6" t="n"/>
      <c r="CJ48" s="6" t="n"/>
      <c r="CK48" s="6" t="n"/>
      <c r="CL48" s="6" t="n"/>
      <c r="CM48" s="6" t="n"/>
      <c r="CN48" s="6" t="n"/>
      <c r="CO48" s="6" t="n"/>
      <c r="CP48" s="6" t="n"/>
      <c r="CQ48" s="6" t="n"/>
      <c r="CR48" s="6" t="n"/>
      <c r="CS48" s="6" t="n"/>
      <c r="CT48" s="6" t="n"/>
      <c r="CU48" s="6" t="n"/>
      <c r="CV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c r="AA49" s="6" t="n"/>
      <c r="AB49" s="6" t="n"/>
      <c r="AC49" s="6" t="n"/>
      <c r="AD49" s="6" t="n"/>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6" t="n"/>
      <c r="BP49" s="6" t="n"/>
      <c r="BQ49" s="6" t="n"/>
      <c r="BR49" s="6" t="n"/>
      <c r="BS49" s="6" t="n"/>
      <c r="BT49" s="6" t="n"/>
      <c r="BU49" s="6" t="n"/>
      <c r="BV49" s="6" t="n"/>
      <c r="BW49" s="6" t="n"/>
      <c r="BX49" s="6" t="n"/>
      <c r="BY49" s="6" t="n"/>
      <c r="BZ49" s="6" t="n"/>
      <c r="CA49" s="6" t="n"/>
      <c r="CB49" s="6" t="n"/>
      <c r="CC49" s="6" t="n"/>
      <c r="CD49" s="6" t="n"/>
      <c r="CE49" s="6" t="n"/>
      <c r="CF49" s="6" t="n"/>
      <c r="CG49" s="6" t="n"/>
      <c r="CH49" s="6" t="n"/>
      <c r="CI49" s="6" t="n"/>
      <c r="CJ49" s="6" t="n"/>
      <c r="CK49" s="6" t="n"/>
      <c r="CL49" s="6" t="n"/>
      <c r="CM49" s="6" t="n"/>
      <c r="CN49" s="6" t="n"/>
      <c r="CO49" s="6" t="n"/>
      <c r="CP49" s="6" t="n"/>
      <c r="CQ49" s="6" t="n"/>
      <c r="CR49" s="6" t="n"/>
      <c r="CS49" s="6" t="n"/>
      <c r="CT49" s="6" t="n"/>
      <c r="CU49" s="6" t="n"/>
      <c r="CV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6" t="n"/>
      <c r="BP50" s="6" t="n"/>
      <c r="BQ50" s="6" t="n"/>
      <c r="BR50" s="6" t="n"/>
      <c r="BS50" s="6" t="n"/>
      <c r="BT50" s="6" t="n"/>
      <c r="BU50" s="6" t="n"/>
      <c r="BV50" s="6" t="n"/>
      <c r="BW50" s="6" t="n"/>
      <c r="BX50" s="6" t="n"/>
      <c r="BY50" s="6" t="n"/>
      <c r="BZ50" s="6" t="n"/>
      <c r="CA50" s="6" t="n"/>
      <c r="CB50" s="6" t="n"/>
      <c r="CC50" s="6" t="n"/>
      <c r="CD50" s="6" t="n"/>
      <c r="CE50" s="6" t="n"/>
      <c r="CF50" s="6" t="n"/>
      <c r="CG50" s="6" t="n"/>
      <c r="CH50" s="6" t="n"/>
      <c r="CI50" s="6" t="n"/>
      <c r="CJ50" s="6" t="n"/>
      <c r="CK50" s="6" t="n"/>
      <c r="CL50" s="6" t="n"/>
      <c r="CM50" s="6" t="n"/>
      <c r="CN50" s="6" t="n"/>
      <c r="CO50" s="6" t="n"/>
      <c r="CP50" s="6" t="n"/>
      <c r="CQ50" s="6" t="n"/>
      <c r="CR50" s="6" t="n"/>
      <c r="CS50" s="6" t="n"/>
      <c r="CT50" s="6" t="n"/>
      <c r="CU50" s="6" t="n"/>
      <c r="CV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c r="BJ51" s="6" t="n"/>
      <c r="BK51" s="6" t="n"/>
      <c r="BL51" s="6" t="n"/>
      <c r="BM51" s="6" t="n"/>
      <c r="BN51" s="6" t="n"/>
      <c r="BO51" s="6" t="n"/>
      <c r="BP51" s="6" t="n"/>
      <c r="BQ51" s="6" t="n"/>
      <c r="BR51" s="6" t="n"/>
      <c r="BS51" s="6" t="n"/>
      <c r="BT51" s="6" t="n"/>
      <c r="BU51" s="6" t="n"/>
      <c r="BV51" s="6" t="n"/>
      <c r="BW51" s="6" t="n"/>
      <c r="BX51" s="6" t="n"/>
      <c r="BY51" s="6" t="n"/>
      <c r="BZ51" s="6" t="n"/>
      <c r="CA51" s="6" t="n"/>
      <c r="CB51" s="6" t="n"/>
      <c r="CC51" s="6" t="n"/>
      <c r="CD51" s="6" t="n"/>
      <c r="CE51" s="6" t="n"/>
      <c r="CF51" s="6" t="n"/>
      <c r="CG51" s="6" t="n"/>
      <c r="CH51" s="6" t="n"/>
      <c r="CI51" s="6" t="n"/>
      <c r="CJ51" s="6" t="n"/>
      <c r="CK51" s="6" t="n"/>
      <c r="CL51" s="6" t="n"/>
      <c r="CM51" s="6" t="n"/>
      <c r="CN51" s="6" t="n"/>
      <c r="CO51" s="6" t="n"/>
      <c r="CP51" s="6" t="n"/>
      <c r="CQ51" s="6" t="n"/>
      <c r="CR51" s="6" t="n"/>
      <c r="CS51" s="6" t="n"/>
      <c r="CT51" s="6" t="n"/>
      <c r="CU51" s="6" t="n"/>
      <c r="CV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6" t="n"/>
      <c r="BO52" s="6" t="n"/>
      <c r="BP52" s="6" t="n"/>
      <c r="BQ52" s="6" t="n"/>
      <c r="BR52" s="6" t="n"/>
      <c r="BS52" s="6" t="n"/>
      <c r="BT52" s="6" t="n"/>
      <c r="BU52" s="6" t="n"/>
      <c r="BV52" s="6" t="n"/>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n"/>
      <c r="CT52" s="6" t="n"/>
      <c r="CU52" s="6" t="n"/>
      <c r="CV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c r="BJ53" s="6" t="n"/>
      <c r="BK53" s="6" t="n"/>
      <c r="BL53" s="6" t="n"/>
      <c r="BM53" s="6" t="n"/>
      <c r="BN53" s="6" t="n"/>
      <c r="BO53" s="6" t="n"/>
      <c r="BP53" s="6" t="n"/>
      <c r="BQ53" s="6" t="n"/>
      <c r="BR53" s="6" t="n"/>
      <c r="BS53" s="6" t="n"/>
      <c r="BT53" s="6" t="n"/>
      <c r="BU53" s="6" t="n"/>
      <c r="BV53" s="6" t="n"/>
      <c r="BW53" s="6" t="n"/>
      <c r="BX53" s="6" t="n"/>
      <c r="BY53" s="6" t="n"/>
      <c r="BZ53" s="6" t="n"/>
      <c r="CA53" s="6" t="n"/>
      <c r="CB53" s="6" t="n"/>
      <c r="CC53" s="6" t="n"/>
      <c r="CD53" s="6" t="n"/>
      <c r="CE53" s="6" t="n"/>
      <c r="CF53" s="6" t="n"/>
      <c r="CG53" s="6" t="n"/>
      <c r="CH53" s="6" t="n"/>
      <c r="CI53" s="6" t="n"/>
      <c r="CJ53" s="6" t="n"/>
      <c r="CK53" s="6" t="n"/>
      <c r="CL53" s="6" t="n"/>
      <c r="CM53" s="6" t="n"/>
      <c r="CN53" s="6" t="n"/>
      <c r="CO53" s="6" t="n"/>
      <c r="CP53" s="6" t="n"/>
      <c r="CQ53" s="6" t="n"/>
      <c r="CR53" s="6" t="n"/>
      <c r="CS53" s="6" t="n"/>
      <c r="CT53" s="6" t="n"/>
      <c r="CU53" s="6" t="n"/>
      <c r="CV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c r="AA54" s="6" t="n"/>
      <c r="AB54" s="6" t="n"/>
      <c r="AC54" s="6" t="n"/>
      <c r="AD54" s="6" t="n"/>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c r="BJ54" s="6" t="n"/>
      <c r="BK54" s="6" t="n"/>
      <c r="BL54" s="6" t="n"/>
      <c r="BM54" s="6" t="n"/>
      <c r="BN54" s="6" t="n"/>
      <c r="BO54" s="6" t="n"/>
      <c r="BP54" s="6" t="n"/>
      <c r="BQ54" s="6" t="n"/>
      <c r="BR54" s="6" t="n"/>
      <c r="BS54" s="6" t="n"/>
      <c r="BT54" s="6" t="n"/>
      <c r="BU54" s="6" t="n"/>
      <c r="BV54" s="6" t="n"/>
      <c r="BW54" s="6" t="n"/>
      <c r="BX54" s="6" t="n"/>
      <c r="BY54" s="6" t="n"/>
      <c r="BZ54" s="6" t="n"/>
      <c r="CA54" s="6" t="n"/>
      <c r="CB54" s="6" t="n"/>
      <c r="CC54" s="6" t="n"/>
      <c r="CD54" s="6" t="n"/>
      <c r="CE54" s="6" t="n"/>
      <c r="CF54" s="6" t="n"/>
      <c r="CG54" s="6" t="n"/>
      <c r="CH54" s="6" t="n"/>
      <c r="CI54" s="6" t="n"/>
      <c r="CJ54" s="6" t="n"/>
      <c r="CK54" s="6" t="n"/>
      <c r="CL54" s="6" t="n"/>
      <c r="CM54" s="6" t="n"/>
      <c r="CN54" s="6" t="n"/>
      <c r="CO54" s="6" t="n"/>
      <c r="CP54" s="6" t="n"/>
      <c r="CQ54" s="6" t="n"/>
      <c r="CR54" s="6" t="n"/>
      <c r="CS54" s="6" t="n"/>
      <c r="CT54" s="6" t="n"/>
      <c r="CU54" s="6" t="n"/>
      <c r="CV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c r="AA55" s="6" t="n"/>
      <c r="AB55" s="6" t="n"/>
      <c r="AC55" s="6" t="n"/>
      <c r="AD55" s="6" t="n"/>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c r="BJ55" s="6" t="n"/>
      <c r="BK55" s="6" t="n"/>
      <c r="BL55" s="6" t="n"/>
      <c r="BM55" s="6" t="n"/>
      <c r="BN55" s="6" t="n"/>
      <c r="BO55" s="6" t="n"/>
      <c r="BP55" s="6" t="n"/>
      <c r="BQ55" s="6" t="n"/>
      <c r="BR55" s="6" t="n"/>
      <c r="BS55" s="6" t="n"/>
      <c r="BT55" s="6" t="n"/>
      <c r="BU55" s="6" t="n"/>
      <c r="BV55" s="6" t="n"/>
      <c r="BW55" s="6" t="n"/>
      <c r="BX55" s="6" t="n"/>
      <c r="BY55" s="6" t="n"/>
      <c r="BZ55" s="6" t="n"/>
      <c r="CA55" s="6" t="n"/>
      <c r="CB55" s="6" t="n"/>
      <c r="CC55" s="6" t="n"/>
      <c r="CD55" s="6" t="n"/>
      <c r="CE55" s="6" t="n"/>
      <c r="CF55" s="6" t="n"/>
      <c r="CG55" s="6" t="n"/>
      <c r="CH55" s="6" t="n"/>
      <c r="CI55" s="6" t="n"/>
      <c r="CJ55" s="6" t="n"/>
      <c r="CK55" s="6" t="n"/>
      <c r="CL55" s="6" t="n"/>
      <c r="CM55" s="6" t="n"/>
      <c r="CN55" s="6" t="n"/>
      <c r="CO55" s="6" t="n"/>
      <c r="CP55" s="6" t="n"/>
      <c r="CQ55" s="6" t="n"/>
      <c r="CR55" s="6" t="n"/>
      <c r="CS55" s="6" t="n"/>
      <c r="CT55" s="6" t="n"/>
      <c r="CU55" s="6" t="n"/>
      <c r="CV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c r="AA56" s="6" t="n"/>
      <c r="AB56" s="6" t="n"/>
      <c r="AC56" s="6" t="n"/>
      <c r="AD56" s="6" t="n"/>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6" t="n"/>
      <c r="BP56" s="6" t="n"/>
      <c r="BQ56" s="6" t="n"/>
      <c r="BR56" s="6" t="n"/>
      <c r="BS56" s="6" t="n"/>
      <c r="BT56" s="6" t="n"/>
      <c r="BU56" s="6" t="n"/>
      <c r="BV56" s="6" t="n"/>
      <c r="BW56" s="6" t="n"/>
      <c r="BX56" s="6" t="n"/>
      <c r="BY56" s="6" t="n"/>
      <c r="BZ56" s="6" t="n"/>
      <c r="CA56" s="6" t="n"/>
      <c r="CB56" s="6" t="n"/>
      <c r="CC56" s="6" t="n"/>
      <c r="CD56" s="6" t="n"/>
      <c r="CE56" s="6" t="n"/>
      <c r="CF56" s="6" t="n"/>
      <c r="CG56" s="6" t="n"/>
      <c r="CH56" s="6" t="n"/>
      <c r="CI56" s="6" t="n"/>
      <c r="CJ56" s="6" t="n"/>
      <c r="CK56" s="6" t="n"/>
      <c r="CL56" s="6" t="n"/>
      <c r="CM56" s="6" t="n"/>
      <c r="CN56" s="6" t="n"/>
      <c r="CO56" s="6" t="n"/>
      <c r="CP56" s="6" t="n"/>
      <c r="CQ56" s="6" t="n"/>
      <c r="CR56" s="6" t="n"/>
      <c r="CS56" s="6" t="n"/>
      <c r="CT56" s="6" t="n"/>
      <c r="CU56" s="6" t="n"/>
      <c r="CV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c r="AA57" s="6" t="n"/>
      <c r="AB57" s="6" t="n"/>
      <c r="AC57" s="6" t="n"/>
      <c r="AD57" s="6" t="n"/>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6" t="n"/>
      <c r="BP57" s="6" t="n"/>
      <c r="BQ57" s="6" t="n"/>
      <c r="BR57" s="6" t="n"/>
      <c r="BS57" s="6" t="n"/>
      <c r="BT57" s="6" t="n"/>
      <c r="BU57" s="6" t="n"/>
      <c r="BV57" s="6" t="n"/>
      <c r="BW57" s="6" t="n"/>
      <c r="BX57" s="6" t="n"/>
      <c r="BY57" s="6" t="n"/>
      <c r="BZ57" s="6" t="n"/>
      <c r="CA57" s="6" t="n"/>
      <c r="CB57" s="6" t="n"/>
      <c r="CC57" s="6" t="n"/>
      <c r="CD57" s="6" t="n"/>
      <c r="CE57" s="6" t="n"/>
      <c r="CF57" s="6" t="n"/>
      <c r="CG57" s="6" t="n"/>
      <c r="CH57" s="6" t="n"/>
      <c r="CI57" s="6" t="n"/>
      <c r="CJ57" s="6" t="n"/>
      <c r="CK57" s="6" t="n"/>
      <c r="CL57" s="6" t="n"/>
      <c r="CM57" s="6" t="n"/>
      <c r="CN57" s="6" t="n"/>
      <c r="CO57" s="6" t="n"/>
      <c r="CP57" s="6" t="n"/>
      <c r="CQ57" s="6" t="n"/>
      <c r="CR57" s="6" t="n"/>
      <c r="CS57" s="6" t="n"/>
      <c r="CT57" s="6" t="n"/>
      <c r="CU57" s="6" t="n"/>
      <c r="CV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6" t="n"/>
      <c r="BP58" s="6" t="n"/>
      <c r="BQ58" s="6" t="n"/>
      <c r="BR58" s="6" t="n"/>
      <c r="BS58" s="6" t="n"/>
      <c r="BT58" s="6" t="n"/>
      <c r="BU58" s="6" t="n"/>
      <c r="BV58" s="6" t="n"/>
      <c r="BW58" s="6" t="n"/>
      <c r="BX58" s="6" t="n"/>
      <c r="BY58" s="6" t="n"/>
      <c r="BZ58" s="6" t="n"/>
      <c r="CA58" s="6" t="n"/>
      <c r="CB58" s="6" t="n"/>
      <c r="CC58" s="6" t="n"/>
      <c r="CD58" s="6" t="n"/>
      <c r="CE58" s="6" t="n"/>
      <c r="CF58" s="6" t="n"/>
      <c r="CG58" s="6" t="n"/>
      <c r="CH58" s="6" t="n"/>
      <c r="CI58" s="6" t="n"/>
      <c r="CJ58" s="6" t="n"/>
      <c r="CK58" s="6" t="n"/>
      <c r="CL58" s="6" t="n"/>
      <c r="CM58" s="6" t="n"/>
      <c r="CN58" s="6" t="n"/>
      <c r="CO58" s="6" t="n"/>
      <c r="CP58" s="6" t="n"/>
      <c r="CQ58" s="6" t="n"/>
      <c r="CR58" s="6" t="n"/>
      <c r="CS58" s="6" t="n"/>
      <c r="CT58" s="6" t="n"/>
      <c r="CU58" s="6" t="n"/>
      <c r="CV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c r="AD59" s="6" t="n"/>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6" t="n"/>
      <c r="BP59" s="6" t="n"/>
      <c r="BQ59" s="6" t="n"/>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n"/>
      <c r="CT59" s="6" t="n"/>
      <c r="CU59" s="6" t="n"/>
      <c r="CV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c r="AD60" s="6" t="n"/>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c r="BJ60" s="6" t="n"/>
      <c r="BK60" s="6" t="n"/>
      <c r="BL60" s="6" t="n"/>
      <c r="BM60" s="6" t="n"/>
      <c r="BN60" s="6" t="n"/>
      <c r="BO60" s="6" t="n"/>
      <c r="BP60" s="6" t="n"/>
      <c r="BQ60" s="6" t="n"/>
      <c r="BR60" s="6" t="n"/>
      <c r="BS60" s="6" t="n"/>
      <c r="BT60" s="6" t="n"/>
      <c r="BU60" s="6" t="n"/>
      <c r="BV60" s="6" t="n"/>
      <c r="BW60" s="6" t="n"/>
      <c r="BX60" s="6" t="n"/>
      <c r="BY60" s="6" t="n"/>
      <c r="BZ60" s="6" t="n"/>
      <c r="CA60" s="6" t="n"/>
      <c r="CB60" s="6" t="n"/>
      <c r="CC60" s="6" t="n"/>
      <c r="CD60" s="6" t="n"/>
      <c r="CE60" s="6" t="n"/>
      <c r="CF60" s="6" t="n"/>
      <c r="CG60" s="6" t="n"/>
      <c r="CH60" s="6" t="n"/>
      <c r="CI60" s="6" t="n"/>
      <c r="CJ60" s="6" t="n"/>
      <c r="CK60" s="6" t="n"/>
      <c r="CL60" s="6" t="n"/>
      <c r="CM60" s="6" t="n"/>
      <c r="CN60" s="6" t="n"/>
      <c r="CO60" s="6" t="n"/>
      <c r="CP60" s="6" t="n"/>
      <c r="CQ60" s="6" t="n"/>
      <c r="CR60" s="6" t="n"/>
      <c r="CS60" s="6" t="n"/>
      <c r="CT60" s="6" t="n"/>
      <c r="CU60" s="6" t="n"/>
      <c r="CV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c r="AA61" s="6" t="n"/>
      <c r="AB61" s="6" t="n"/>
      <c r="AC61" s="6" t="n"/>
      <c r="AD61" s="6" t="n"/>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6" t="n"/>
      <c r="BP61" s="6" t="n"/>
      <c r="BQ61" s="6" t="n"/>
      <c r="BR61" s="6" t="n"/>
      <c r="BS61" s="6" t="n"/>
      <c r="BT61" s="6" t="n"/>
      <c r="BU61" s="6" t="n"/>
      <c r="BV61" s="6" t="n"/>
      <c r="BW61" s="6" t="n"/>
      <c r="BX61" s="6" t="n"/>
      <c r="BY61" s="6" t="n"/>
      <c r="BZ61" s="6" t="n"/>
      <c r="CA61" s="6" t="n"/>
      <c r="CB61" s="6" t="n"/>
      <c r="CC61" s="6" t="n"/>
      <c r="CD61" s="6" t="n"/>
      <c r="CE61" s="6" t="n"/>
      <c r="CF61" s="6" t="n"/>
      <c r="CG61" s="6" t="n"/>
      <c r="CH61" s="6" t="n"/>
      <c r="CI61" s="6" t="n"/>
      <c r="CJ61" s="6" t="n"/>
      <c r="CK61" s="6" t="n"/>
      <c r="CL61" s="6" t="n"/>
      <c r="CM61" s="6" t="n"/>
      <c r="CN61" s="6" t="n"/>
      <c r="CO61" s="6" t="n"/>
      <c r="CP61" s="6" t="n"/>
      <c r="CQ61" s="6" t="n"/>
      <c r="CR61" s="6" t="n"/>
      <c r="CS61" s="6" t="n"/>
      <c r="CT61" s="6" t="n"/>
      <c r="CU61" s="6" t="n"/>
      <c r="CV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c r="AA62" s="6" t="n"/>
      <c r="AB62" s="6" t="n"/>
      <c r="AC62" s="6" t="n"/>
      <c r="AD62" s="6" t="n"/>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6" t="n"/>
      <c r="BP62" s="6" t="n"/>
      <c r="BQ62" s="6" t="n"/>
      <c r="BR62" s="6" t="n"/>
      <c r="BS62" s="6" t="n"/>
      <c r="BT62" s="6" t="n"/>
      <c r="BU62" s="6" t="n"/>
      <c r="BV62" s="6" t="n"/>
      <c r="BW62" s="6" t="n"/>
      <c r="BX62" s="6" t="n"/>
      <c r="BY62" s="6" t="n"/>
      <c r="BZ62" s="6" t="n"/>
      <c r="CA62" s="6" t="n"/>
      <c r="CB62" s="6" t="n"/>
      <c r="CC62" s="6" t="n"/>
      <c r="CD62" s="6" t="n"/>
      <c r="CE62" s="6" t="n"/>
      <c r="CF62" s="6" t="n"/>
      <c r="CG62" s="6" t="n"/>
      <c r="CH62" s="6" t="n"/>
      <c r="CI62" s="6" t="n"/>
      <c r="CJ62" s="6" t="n"/>
      <c r="CK62" s="6" t="n"/>
      <c r="CL62" s="6" t="n"/>
      <c r="CM62" s="6" t="n"/>
      <c r="CN62" s="6" t="n"/>
      <c r="CO62" s="6" t="n"/>
      <c r="CP62" s="6" t="n"/>
      <c r="CQ62" s="6" t="n"/>
      <c r="CR62" s="6" t="n"/>
      <c r="CS62" s="6" t="n"/>
      <c r="CT62" s="6" t="n"/>
      <c r="CU62" s="6" t="n"/>
      <c r="CV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c r="AA63" s="6" t="n"/>
      <c r="AB63" s="6" t="n"/>
      <c r="AC63" s="6" t="n"/>
      <c r="AD63" s="6" t="n"/>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6" t="n"/>
      <c r="BP63" s="6" t="n"/>
      <c r="BQ63" s="6" t="n"/>
      <c r="BR63" s="6" t="n"/>
      <c r="BS63" s="6" t="n"/>
      <c r="BT63" s="6" t="n"/>
      <c r="BU63" s="6" t="n"/>
      <c r="BV63" s="6" t="n"/>
      <c r="BW63" s="6" t="n"/>
      <c r="BX63" s="6" t="n"/>
      <c r="BY63" s="6" t="n"/>
      <c r="BZ63" s="6" t="n"/>
      <c r="CA63" s="6" t="n"/>
      <c r="CB63" s="6" t="n"/>
      <c r="CC63" s="6" t="n"/>
      <c r="CD63" s="6" t="n"/>
      <c r="CE63" s="6" t="n"/>
      <c r="CF63" s="6" t="n"/>
      <c r="CG63" s="6" t="n"/>
      <c r="CH63" s="6" t="n"/>
      <c r="CI63" s="6" t="n"/>
      <c r="CJ63" s="6" t="n"/>
      <c r="CK63" s="6" t="n"/>
      <c r="CL63" s="6" t="n"/>
      <c r="CM63" s="6" t="n"/>
      <c r="CN63" s="6" t="n"/>
      <c r="CO63" s="6" t="n"/>
      <c r="CP63" s="6" t="n"/>
      <c r="CQ63" s="6" t="n"/>
      <c r="CR63" s="6" t="n"/>
      <c r="CS63" s="6" t="n"/>
      <c r="CT63" s="6" t="n"/>
      <c r="CU63" s="6" t="n"/>
      <c r="CV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c r="AA64" s="6" t="n"/>
      <c r="AB64" s="6" t="n"/>
      <c r="AC64" s="6" t="n"/>
      <c r="AD64" s="6" t="n"/>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6" t="n"/>
      <c r="BP64" s="6" t="n"/>
      <c r="BQ64" s="6" t="n"/>
      <c r="BR64" s="6" t="n"/>
      <c r="BS64" s="6" t="n"/>
      <c r="BT64" s="6" t="n"/>
      <c r="BU64" s="6" t="n"/>
      <c r="BV64" s="6" t="n"/>
      <c r="BW64" s="6" t="n"/>
      <c r="BX64" s="6" t="n"/>
      <c r="BY64" s="6" t="n"/>
      <c r="BZ64" s="6" t="n"/>
      <c r="CA64" s="6" t="n"/>
      <c r="CB64" s="6" t="n"/>
      <c r="CC64" s="6" t="n"/>
      <c r="CD64" s="6" t="n"/>
      <c r="CE64" s="6" t="n"/>
      <c r="CF64" s="6" t="n"/>
      <c r="CG64" s="6" t="n"/>
      <c r="CH64" s="6" t="n"/>
      <c r="CI64" s="6" t="n"/>
      <c r="CJ64" s="6" t="n"/>
      <c r="CK64" s="6" t="n"/>
      <c r="CL64" s="6" t="n"/>
      <c r="CM64" s="6" t="n"/>
      <c r="CN64" s="6" t="n"/>
      <c r="CO64" s="6" t="n"/>
      <c r="CP64" s="6" t="n"/>
      <c r="CQ64" s="6" t="n"/>
      <c r="CR64" s="6" t="n"/>
      <c r="CS64" s="6" t="n"/>
      <c r="CT64" s="6" t="n"/>
      <c r="CU64" s="6" t="n"/>
      <c r="CV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c r="AA65" s="6" t="n"/>
      <c r="AB65" s="6" t="n"/>
      <c r="AC65" s="6" t="n"/>
      <c r="AD65" s="6" t="n"/>
      <c r="AE65" s="6" t="n"/>
      <c r="AF65" s="6" t="n"/>
      <c r="AG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6" t="n"/>
      <c r="BP65" s="6" t="n"/>
      <c r="BQ65" s="6" t="n"/>
      <c r="BR65" s="6" t="n"/>
      <c r="BS65" s="6" t="n"/>
      <c r="BT65" s="6" t="n"/>
      <c r="BU65" s="6" t="n"/>
      <c r="BV65" s="6" t="n"/>
      <c r="BW65" s="6" t="n"/>
      <c r="BX65" s="6" t="n"/>
      <c r="BY65" s="6" t="n"/>
      <c r="BZ65" s="6" t="n"/>
      <c r="CA65" s="6" t="n"/>
      <c r="CB65" s="6" t="n"/>
      <c r="CC65" s="6" t="n"/>
      <c r="CD65" s="6" t="n"/>
      <c r="CE65" s="6" t="n"/>
      <c r="CF65" s="6" t="n"/>
      <c r="CG65" s="6" t="n"/>
      <c r="CH65" s="6" t="n"/>
      <c r="CI65" s="6" t="n"/>
      <c r="CJ65" s="6" t="n"/>
      <c r="CK65" s="6" t="n"/>
      <c r="CL65" s="6" t="n"/>
      <c r="CM65" s="6" t="n"/>
      <c r="CN65" s="6" t="n"/>
      <c r="CO65" s="6" t="n"/>
      <c r="CP65" s="6" t="n"/>
      <c r="CQ65" s="6" t="n"/>
      <c r="CR65" s="6" t="n"/>
      <c r="CS65" s="6" t="n"/>
      <c r="CT65" s="6" t="n"/>
      <c r="CU65" s="6" t="n"/>
      <c r="CV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c r="AA66" s="6" t="n"/>
      <c r="AB66" s="6" t="n"/>
      <c r="AC66" s="6" t="n"/>
      <c r="AD66" s="6" t="n"/>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6" t="n"/>
      <c r="BP66" s="6" t="n"/>
      <c r="BQ66" s="6" t="n"/>
      <c r="BR66" s="6" t="n"/>
      <c r="BS66" s="6" t="n"/>
      <c r="BT66" s="6" t="n"/>
      <c r="BU66" s="6" t="n"/>
      <c r="BV66" s="6" t="n"/>
      <c r="BW66" s="6" t="n"/>
      <c r="BX66" s="6" t="n"/>
      <c r="BY66" s="6" t="n"/>
      <c r="BZ66" s="6" t="n"/>
      <c r="CA66" s="6" t="n"/>
      <c r="CB66" s="6" t="n"/>
      <c r="CC66" s="6" t="n"/>
      <c r="CD66" s="6" t="n"/>
      <c r="CE66" s="6" t="n"/>
      <c r="CF66" s="6" t="n"/>
      <c r="CG66" s="6" t="n"/>
      <c r="CH66" s="6" t="n"/>
      <c r="CI66" s="6" t="n"/>
      <c r="CJ66" s="6" t="n"/>
      <c r="CK66" s="6" t="n"/>
      <c r="CL66" s="6" t="n"/>
      <c r="CM66" s="6" t="n"/>
      <c r="CN66" s="6" t="n"/>
      <c r="CO66" s="6" t="n"/>
      <c r="CP66" s="6" t="n"/>
      <c r="CQ66" s="6" t="n"/>
      <c r="CR66" s="6" t="n"/>
      <c r="CS66" s="6" t="n"/>
      <c r="CT66" s="6" t="n"/>
      <c r="CU66" s="6" t="n"/>
      <c r="CV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c r="AC67" s="6" t="n"/>
      <c r="AD67" s="6" t="n"/>
      <c r="AE67" s="6" t="n"/>
      <c r="AF67" s="6" t="n"/>
      <c r="AG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6" t="n"/>
      <c r="BP67" s="6" t="n"/>
      <c r="BQ67" s="6" t="n"/>
      <c r="BR67" s="6" t="n"/>
      <c r="BS67" s="6" t="n"/>
      <c r="BT67" s="6" t="n"/>
      <c r="BU67" s="6" t="n"/>
      <c r="BV67" s="6" t="n"/>
      <c r="BW67" s="6" t="n"/>
      <c r="BX67" s="6" t="n"/>
      <c r="BY67" s="6" t="n"/>
      <c r="BZ67" s="6" t="n"/>
      <c r="CA67" s="6" t="n"/>
      <c r="CB67" s="6" t="n"/>
      <c r="CC67" s="6" t="n"/>
      <c r="CD67" s="6" t="n"/>
      <c r="CE67" s="6" t="n"/>
      <c r="CF67" s="6" t="n"/>
      <c r="CG67" s="6" t="n"/>
      <c r="CH67" s="6" t="n"/>
      <c r="CI67" s="6" t="n"/>
      <c r="CJ67" s="6" t="n"/>
      <c r="CK67" s="6" t="n"/>
      <c r="CL67" s="6" t="n"/>
      <c r="CM67" s="6" t="n"/>
      <c r="CN67" s="6" t="n"/>
      <c r="CO67" s="6" t="n"/>
      <c r="CP67" s="6" t="n"/>
      <c r="CQ67" s="6" t="n"/>
      <c r="CR67" s="6" t="n"/>
      <c r="CS67" s="6" t="n"/>
      <c r="CT67" s="6" t="n"/>
      <c r="CU67" s="6" t="n"/>
      <c r="CV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6" t="n"/>
      <c r="BP68" s="6" t="n"/>
      <c r="BQ68" s="6" t="n"/>
      <c r="BR68" s="6" t="n"/>
      <c r="BS68" s="6" t="n"/>
      <c r="BT68" s="6" t="n"/>
      <c r="BU68" s="6" t="n"/>
      <c r="BV68" s="6" t="n"/>
      <c r="BW68" s="6" t="n"/>
      <c r="BX68" s="6" t="n"/>
      <c r="BY68" s="6" t="n"/>
      <c r="BZ68" s="6" t="n"/>
      <c r="CA68" s="6" t="n"/>
      <c r="CB68" s="6" t="n"/>
      <c r="CC68" s="6" t="n"/>
      <c r="CD68" s="6" t="n"/>
      <c r="CE68" s="6" t="n"/>
      <c r="CF68" s="6" t="n"/>
      <c r="CG68" s="6" t="n"/>
      <c r="CH68" s="6" t="n"/>
      <c r="CI68" s="6" t="n"/>
      <c r="CJ68" s="6" t="n"/>
      <c r="CK68" s="6" t="n"/>
      <c r="CL68" s="6" t="n"/>
      <c r="CM68" s="6" t="n"/>
      <c r="CN68" s="6" t="n"/>
      <c r="CO68" s="6" t="n"/>
      <c r="CP68" s="6" t="n"/>
      <c r="CQ68" s="6" t="n"/>
      <c r="CR68" s="6" t="n"/>
      <c r="CS68" s="6" t="n"/>
      <c r="CT68" s="6" t="n"/>
      <c r="CU68" s="6" t="n"/>
      <c r="CV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c r="BJ69" s="6" t="n"/>
      <c r="BK69" s="6" t="n"/>
      <c r="BL69" s="6" t="n"/>
      <c r="BM69" s="6" t="n"/>
      <c r="BN69" s="6" t="n"/>
      <c r="BO69" s="6" t="n"/>
      <c r="BP69" s="6" t="n"/>
      <c r="BQ69" s="6" t="n"/>
      <c r="BR69" s="6" t="n"/>
      <c r="BS69" s="6" t="n"/>
      <c r="BT69" s="6" t="n"/>
      <c r="BU69" s="6" t="n"/>
      <c r="BV69" s="6" t="n"/>
      <c r="BW69" s="6" t="n"/>
      <c r="BX69" s="6" t="n"/>
      <c r="BY69" s="6" t="n"/>
      <c r="BZ69" s="6" t="n"/>
      <c r="CA69" s="6" t="n"/>
      <c r="CB69" s="6" t="n"/>
      <c r="CC69" s="6" t="n"/>
      <c r="CD69" s="6" t="n"/>
      <c r="CE69" s="6" t="n"/>
      <c r="CF69" s="6" t="n"/>
      <c r="CG69" s="6" t="n"/>
      <c r="CH69" s="6" t="n"/>
      <c r="CI69" s="6" t="n"/>
      <c r="CJ69" s="6" t="n"/>
      <c r="CK69" s="6" t="n"/>
      <c r="CL69" s="6" t="n"/>
      <c r="CM69" s="6" t="n"/>
      <c r="CN69" s="6" t="n"/>
      <c r="CO69" s="6" t="n"/>
      <c r="CP69" s="6" t="n"/>
      <c r="CQ69" s="6" t="n"/>
      <c r="CR69" s="6" t="n"/>
      <c r="CS69" s="6" t="n"/>
      <c r="CT69" s="6" t="n"/>
      <c r="CU69" s="6" t="n"/>
      <c r="CV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c r="AA70" s="6" t="n"/>
      <c r="AB70" s="6" t="n"/>
      <c r="AC70" s="6" t="n"/>
      <c r="AD70" s="6" t="n"/>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c r="BJ70" s="6" t="n"/>
      <c r="BK70" s="6" t="n"/>
      <c r="BL70" s="6" t="n"/>
      <c r="BM70" s="6" t="n"/>
      <c r="BN70" s="6" t="n"/>
      <c r="BO70" s="6" t="n"/>
      <c r="BP70" s="6" t="n"/>
      <c r="BQ70" s="6" t="n"/>
      <c r="BR70" s="6" t="n"/>
      <c r="BS70" s="6" t="n"/>
      <c r="BT70" s="6" t="n"/>
      <c r="BU70" s="6" t="n"/>
      <c r="BV70" s="6" t="n"/>
      <c r="BW70" s="6" t="n"/>
      <c r="BX70" s="6" t="n"/>
      <c r="BY70" s="6" t="n"/>
      <c r="BZ70" s="6" t="n"/>
      <c r="CA70" s="6" t="n"/>
      <c r="CB70" s="6" t="n"/>
      <c r="CC70" s="6" t="n"/>
      <c r="CD70" s="6" t="n"/>
      <c r="CE70" s="6" t="n"/>
      <c r="CF70" s="6" t="n"/>
      <c r="CG70" s="6" t="n"/>
      <c r="CH70" s="6" t="n"/>
      <c r="CI70" s="6" t="n"/>
      <c r="CJ70" s="6" t="n"/>
      <c r="CK70" s="6" t="n"/>
      <c r="CL70" s="6" t="n"/>
      <c r="CM70" s="6" t="n"/>
      <c r="CN70" s="6" t="n"/>
      <c r="CO70" s="6" t="n"/>
      <c r="CP70" s="6" t="n"/>
      <c r="CQ70" s="6" t="n"/>
      <c r="CR70" s="6" t="n"/>
      <c r="CS70" s="6" t="n"/>
      <c r="CT70" s="6" t="n"/>
      <c r="CU70" s="6" t="n"/>
      <c r="CV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c r="AA71" s="6" t="n"/>
      <c r="AB71" s="6" t="n"/>
      <c r="AC71" s="6" t="n"/>
      <c r="AD71" s="6" t="n"/>
      <c r="AE71" s="6" t="n"/>
      <c r="AF71" s="6" t="n"/>
      <c r="AG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c r="BJ71" s="6" t="n"/>
      <c r="BK71" s="6" t="n"/>
      <c r="BL71" s="6" t="n"/>
      <c r="BM71" s="6" t="n"/>
      <c r="BN71" s="6" t="n"/>
      <c r="BO71" s="6" t="n"/>
      <c r="BP71" s="6" t="n"/>
      <c r="BQ71" s="6" t="n"/>
      <c r="BR71" s="6" t="n"/>
      <c r="BS71" s="6" t="n"/>
      <c r="BT71" s="6" t="n"/>
      <c r="BU71" s="6" t="n"/>
      <c r="BV71" s="6" t="n"/>
      <c r="BW71" s="6" t="n"/>
      <c r="BX71" s="6" t="n"/>
      <c r="BY71" s="6" t="n"/>
      <c r="BZ71" s="6" t="n"/>
      <c r="CA71" s="6" t="n"/>
      <c r="CB71" s="6" t="n"/>
      <c r="CC71" s="6" t="n"/>
      <c r="CD71" s="6" t="n"/>
      <c r="CE71" s="6" t="n"/>
      <c r="CF71" s="6" t="n"/>
      <c r="CG71" s="6" t="n"/>
      <c r="CH71" s="6" t="n"/>
      <c r="CI71" s="6" t="n"/>
      <c r="CJ71" s="6" t="n"/>
      <c r="CK71" s="6" t="n"/>
      <c r="CL71" s="6" t="n"/>
      <c r="CM71" s="6" t="n"/>
      <c r="CN71" s="6" t="n"/>
      <c r="CO71" s="6" t="n"/>
      <c r="CP71" s="6" t="n"/>
      <c r="CQ71" s="6" t="n"/>
      <c r="CR71" s="6" t="n"/>
      <c r="CS71" s="6" t="n"/>
      <c r="CT71" s="6" t="n"/>
      <c r="CU71" s="6" t="n"/>
      <c r="CV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c r="AB72" s="6" t="n"/>
      <c r="AC72" s="6" t="n"/>
      <c r="AD72" s="6" t="n"/>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c r="BJ72" s="6" t="n"/>
      <c r="BK72" s="6" t="n"/>
      <c r="BL72" s="6" t="n"/>
      <c r="BM72" s="6" t="n"/>
      <c r="BN72" s="6" t="n"/>
      <c r="BO72" s="6" t="n"/>
      <c r="BP72" s="6" t="n"/>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c r="CM72" s="6" t="n"/>
      <c r="CN72" s="6" t="n"/>
      <c r="CO72" s="6" t="n"/>
      <c r="CP72" s="6" t="n"/>
      <c r="CQ72" s="6" t="n"/>
      <c r="CR72" s="6" t="n"/>
      <c r="CS72" s="6" t="n"/>
      <c r="CT72" s="6" t="n"/>
      <c r="CU72" s="6" t="n"/>
      <c r="CV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n"/>
      <c r="AD73" s="6" t="n"/>
      <c r="AE73" s="6" t="n"/>
      <c r="AF73" s="6" t="n"/>
      <c r="AG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c r="BJ73" s="6" t="n"/>
      <c r="BK73" s="6" t="n"/>
      <c r="BL73" s="6" t="n"/>
      <c r="BM73" s="6" t="n"/>
      <c r="BN73" s="6" t="n"/>
      <c r="BO73" s="6" t="n"/>
      <c r="BP73" s="6" t="n"/>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c r="CM73" s="6" t="n"/>
      <c r="CN73" s="6" t="n"/>
      <c r="CO73" s="6" t="n"/>
      <c r="CP73" s="6" t="n"/>
      <c r="CQ73" s="6" t="n"/>
      <c r="CR73" s="6" t="n"/>
      <c r="CS73" s="6" t="n"/>
      <c r="CT73" s="6" t="n"/>
      <c r="CU73" s="6" t="n"/>
      <c r="CV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c r="AB74" s="6" t="n"/>
      <c r="AC74" s="6" t="n"/>
      <c r="AD74" s="6" t="n"/>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6" t="n"/>
      <c r="BP74" s="6" t="n"/>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c r="CM74" s="6" t="n"/>
      <c r="CN74" s="6" t="n"/>
      <c r="CO74" s="6" t="n"/>
      <c r="CP74" s="6" t="n"/>
      <c r="CQ74" s="6" t="n"/>
      <c r="CR74" s="6" t="n"/>
      <c r="CS74" s="6" t="n"/>
      <c r="CT74" s="6" t="n"/>
      <c r="CU74" s="6" t="n"/>
      <c r="CV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c r="AB75" s="6" t="n"/>
      <c r="AC75" s="6" t="n"/>
      <c r="AD75" s="6" t="n"/>
      <c r="AE75" s="6" t="n"/>
      <c r="AF75" s="6" t="n"/>
      <c r="AG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6" t="n"/>
      <c r="BP75" s="6" t="n"/>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c r="CM75" s="6" t="n"/>
      <c r="CN75" s="6" t="n"/>
      <c r="CO75" s="6" t="n"/>
      <c r="CP75" s="6" t="n"/>
      <c r="CQ75" s="6" t="n"/>
      <c r="CR75" s="6" t="n"/>
      <c r="CS75" s="6" t="n"/>
      <c r="CT75" s="6" t="n"/>
      <c r="CU75" s="6" t="n"/>
      <c r="CV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c r="AB76" s="6" t="n"/>
      <c r="AC76" s="6" t="n"/>
      <c r="AD76" s="6" t="n"/>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6" t="n"/>
      <c r="BP76" s="6" t="n"/>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c r="CM76" s="6" t="n"/>
      <c r="CN76" s="6" t="n"/>
      <c r="CO76" s="6" t="n"/>
      <c r="CP76" s="6" t="n"/>
      <c r="CQ76" s="6" t="n"/>
      <c r="CR76" s="6" t="n"/>
      <c r="CS76" s="6" t="n"/>
      <c r="CT76" s="6" t="n"/>
      <c r="CU76" s="6" t="n"/>
      <c r="CV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E77" s="6" t="n"/>
      <c r="AF77" s="6" t="n"/>
      <c r="AG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6" t="n"/>
      <c r="BP77" s="6" t="n"/>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c r="CM77" s="6" t="n"/>
      <c r="CN77" s="6" t="n"/>
      <c r="CO77" s="6" t="n"/>
      <c r="CP77" s="6" t="n"/>
      <c r="CQ77" s="6" t="n"/>
      <c r="CR77" s="6" t="n"/>
      <c r="CS77" s="6" t="n"/>
      <c r="CT77" s="6" t="n"/>
      <c r="CU77" s="6" t="n"/>
      <c r="CV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c r="AD78" s="6" t="n"/>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6" t="n"/>
      <c r="BP78" s="6" t="n"/>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n"/>
      <c r="CT78" s="6" t="n"/>
      <c r="CU78" s="6" t="n"/>
      <c r="CV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n"/>
      <c r="AC79" s="6" t="n"/>
      <c r="AD79" s="6" t="n"/>
      <c r="AE79" s="6" t="n"/>
      <c r="AF79" s="6" t="n"/>
      <c r="AG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c r="BJ79" s="6" t="n"/>
      <c r="BK79" s="6" t="n"/>
      <c r="BL79" s="6" t="n"/>
      <c r="BM79" s="6" t="n"/>
      <c r="BN79" s="6" t="n"/>
      <c r="BO79" s="6" t="n"/>
      <c r="BP79" s="6" t="n"/>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c r="CM79" s="6" t="n"/>
      <c r="CN79" s="6" t="n"/>
      <c r="CO79" s="6" t="n"/>
      <c r="CP79" s="6" t="n"/>
      <c r="CQ79" s="6" t="n"/>
      <c r="CR79" s="6" t="n"/>
      <c r="CS79" s="6" t="n"/>
      <c r="CT79" s="6" t="n"/>
      <c r="CU79" s="6" t="n"/>
      <c r="CV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c r="AB80" s="6" t="n"/>
      <c r="AC80" s="6" t="n"/>
      <c r="AD80" s="6" t="n"/>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c r="BJ80" s="6" t="n"/>
      <c r="BK80" s="6" t="n"/>
      <c r="BL80" s="6" t="n"/>
      <c r="BM80" s="6" t="n"/>
      <c r="BN80" s="6" t="n"/>
      <c r="BO80" s="6" t="n"/>
      <c r="BP80" s="6" t="n"/>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c r="CM80" s="6" t="n"/>
      <c r="CN80" s="6" t="n"/>
      <c r="CO80" s="6" t="n"/>
      <c r="CP80" s="6" t="n"/>
      <c r="CQ80" s="6" t="n"/>
      <c r="CR80" s="6" t="n"/>
      <c r="CS80" s="6" t="n"/>
      <c r="CT80" s="6" t="n"/>
      <c r="CU80" s="6" t="n"/>
      <c r="CV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c r="AD81" s="6" t="n"/>
      <c r="AE81" s="6" t="n"/>
      <c r="AF81" s="6" t="n"/>
      <c r="AG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c r="BJ81" s="6" t="n"/>
      <c r="BK81" s="6" t="n"/>
      <c r="BL81" s="6" t="n"/>
      <c r="BM81" s="6" t="n"/>
      <c r="BN81" s="6" t="n"/>
      <c r="BO81" s="6" t="n"/>
      <c r="BP81" s="6" t="n"/>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c r="CM81" s="6" t="n"/>
      <c r="CN81" s="6" t="n"/>
      <c r="CO81" s="6" t="n"/>
      <c r="CP81" s="6" t="n"/>
      <c r="CQ81" s="6" t="n"/>
      <c r="CR81" s="6" t="n"/>
      <c r="CS81" s="6" t="n"/>
      <c r="CT81" s="6" t="n"/>
      <c r="CU81" s="6" t="n"/>
      <c r="CV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c r="AD82" s="6" t="n"/>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c r="BJ82" s="6" t="n"/>
      <c r="BK82" s="6" t="n"/>
      <c r="BL82" s="6" t="n"/>
      <c r="BM82" s="6" t="n"/>
      <c r="BN82" s="6" t="n"/>
      <c r="BO82" s="6" t="n"/>
      <c r="BP82" s="6" t="n"/>
      <c r="BQ82" s="6" t="n"/>
      <c r="BR82" s="6" t="n"/>
      <c r="BS82" s="6" t="n"/>
      <c r="BT82" s="6" t="n"/>
      <c r="BU82" s="6" t="n"/>
      <c r="BV82" s="6" t="n"/>
      <c r="BW82" s="6" t="n"/>
      <c r="BX82" s="6" t="n"/>
      <c r="BY82" s="6" t="n"/>
      <c r="BZ82" s="6" t="n"/>
      <c r="CA82" s="6" t="n"/>
      <c r="CB82" s="6" t="n"/>
      <c r="CC82" s="6" t="n"/>
      <c r="CD82" s="6" t="n"/>
      <c r="CE82" s="6" t="n"/>
      <c r="CF82" s="6" t="n"/>
      <c r="CG82" s="6" t="n"/>
      <c r="CH82" s="6" t="n"/>
      <c r="CI82" s="6" t="n"/>
      <c r="CJ82" s="6" t="n"/>
      <c r="CK82" s="6" t="n"/>
      <c r="CL82" s="6" t="n"/>
      <c r="CM82" s="6" t="n"/>
      <c r="CN82" s="6" t="n"/>
      <c r="CO82" s="6" t="n"/>
      <c r="CP82" s="6" t="n"/>
      <c r="CQ82" s="6" t="n"/>
      <c r="CR82" s="6" t="n"/>
      <c r="CS82" s="6" t="n"/>
      <c r="CT82" s="6" t="n"/>
      <c r="CU82" s="6" t="n"/>
      <c r="CV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c r="AB83" s="6" t="n"/>
      <c r="AC83" s="6" t="n"/>
      <c r="AD83" s="6" t="n"/>
      <c r="AE83" s="6" t="n"/>
      <c r="AF83" s="6" t="n"/>
      <c r="AG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c r="BJ83" s="6" t="n"/>
      <c r="BK83" s="6" t="n"/>
      <c r="BL83" s="6" t="n"/>
      <c r="BM83" s="6" t="n"/>
      <c r="BN83" s="6" t="n"/>
      <c r="BO83" s="6" t="n"/>
      <c r="BP83" s="6" t="n"/>
      <c r="BQ83" s="6" t="n"/>
      <c r="BR83" s="6" t="n"/>
      <c r="BS83" s="6" t="n"/>
      <c r="BT83" s="6" t="n"/>
      <c r="BU83" s="6" t="n"/>
      <c r="BV83" s="6" t="n"/>
      <c r="BW83" s="6" t="n"/>
      <c r="BX83" s="6" t="n"/>
      <c r="BY83" s="6" t="n"/>
      <c r="BZ83" s="6" t="n"/>
      <c r="CA83" s="6" t="n"/>
      <c r="CB83" s="6" t="n"/>
      <c r="CC83" s="6" t="n"/>
      <c r="CD83" s="6" t="n"/>
      <c r="CE83" s="6" t="n"/>
      <c r="CF83" s="6" t="n"/>
      <c r="CG83" s="6" t="n"/>
      <c r="CH83" s="6" t="n"/>
      <c r="CI83" s="6" t="n"/>
      <c r="CJ83" s="6" t="n"/>
      <c r="CK83" s="6" t="n"/>
      <c r="CL83" s="6" t="n"/>
      <c r="CM83" s="6" t="n"/>
      <c r="CN83" s="6" t="n"/>
      <c r="CO83" s="6" t="n"/>
      <c r="CP83" s="6" t="n"/>
      <c r="CQ83" s="6" t="n"/>
      <c r="CR83" s="6" t="n"/>
      <c r="CS83" s="6" t="n"/>
      <c r="CT83" s="6" t="n"/>
      <c r="CU83" s="6" t="n"/>
      <c r="CV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E84" s="6" t="n"/>
      <c r="AF84" s="6" t="n"/>
      <c r="AG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n"/>
      <c r="BJ84" s="6" t="n"/>
      <c r="BK84" s="6" t="n"/>
      <c r="BL84" s="6" t="n"/>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c r="CM84" s="6" t="n"/>
      <c r="CN84" s="6" t="n"/>
      <c r="CO84" s="6" t="n"/>
      <c r="CP84" s="6" t="n"/>
      <c r="CQ84" s="6" t="n"/>
      <c r="CR84" s="6" t="n"/>
      <c r="CS84" s="6" t="n"/>
      <c r="CT84" s="6" t="n"/>
      <c r="CU84" s="6" t="n"/>
      <c r="CV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n"/>
      <c r="AC85" s="6" t="n"/>
      <c r="AD85" s="6" t="n"/>
      <c r="AE85" s="6" t="n"/>
      <c r="AF85" s="6" t="n"/>
      <c r="AG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n"/>
      <c r="BP85" s="6" t="n"/>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n"/>
      <c r="CT85" s="6" t="n"/>
      <c r="CU85" s="6" t="n"/>
      <c r="CV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E86" s="6" t="n"/>
      <c r="AF86" s="6" t="n"/>
      <c r="AG86" s="6" t="n"/>
      <c r="AH86" s="6" t="n"/>
      <c r="AI86" s="6" t="n"/>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n"/>
      <c r="BI86" s="6" t="n"/>
      <c r="BJ86" s="6" t="n"/>
      <c r="BK86" s="6" t="n"/>
      <c r="BL86" s="6" t="n"/>
      <c r="BM86" s="6" t="n"/>
      <c r="BN86" s="6" t="n"/>
      <c r="BO86" s="6" t="n"/>
      <c r="BP86" s="6" t="n"/>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c r="CM86" s="6" t="n"/>
      <c r="CN86" s="6" t="n"/>
      <c r="CO86" s="6" t="n"/>
      <c r="CP86" s="6" t="n"/>
      <c r="CQ86" s="6" t="n"/>
      <c r="CR86" s="6" t="n"/>
      <c r="CS86" s="6" t="n"/>
      <c r="CT86" s="6" t="n"/>
      <c r="CU86" s="6" t="n"/>
      <c r="CV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E87" s="6" t="n"/>
      <c r="AF87" s="6" t="n"/>
      <c r="AG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n"/>
      <c r="BP87" s="6" t="n"/>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n"/>
      <c r="CT87" s="6" t="n"/>
      <c r="CU87" s="6" t="n"/>
      <c r="CV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n"/>
      <c r="BP88" s="6" t="n"/>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n"/>
      <c r="CT88" s="6" t="n"/>
      <c r="CU88" s="6" t="n"/>
      <c r="CV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6" t="n"/>
      <c r="AG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n"/>
      <c r="BP89" s="6" t="n"/>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c r="CM89" s="6" t="n"/>
      <c r="CN89" s="6" t="n"/>
      <c r="CO89" s="6" t="n"/>
      <c r="CP89" s="6" t="n"/>
      <c r="CQ89" s="6" t="n"/>
      <c r="CR89" s="6" t="n"/>
      <c r="CS89" s="6" t="n"/>
      <c r="CT89" s="6" t="n"/>
      <c r="CU89" s="6" t="n"/>
      <c r="CV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n"/>
      <c r="BP90" s="6" t="n"/>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c r="CM90" s="6" t="n"/>
      <c r="CN90" s="6" t="n"/>
      <c r="CO90" s="6" t="n"/>
      <c r="CP90" s="6" t="n"/>
      <c r="CQ90" s="6" t="n"/>
      <c r="CR90" s="6" t="n"/>
      <c r="CS90" s="6" t="n"/>
      <c r="CT90" s="6" t="n"/>
      <c r="CU90" s="6" t="n"/>
      <c r="CV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6" t="n"/>
      <c r="AG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n"/>
      <c r="BP91" s="6" t="n"/>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n"/>
      <c r="CN91" s="6" t="n"/>
      <c r="CO91" s="6" t="n"/>
      <c r="CP91" s="6" t="n"/>
      <c r="CQ91" s="6" t="n"/>
      <c r="CR91" s="6" t="n"/>
      <c r="CS91" s="6" t="n"/>
      <c r="CT91" s="6" t="n"/>
      <c r="CU91" s="6" t="n"/>
      <c r="CV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n"/>
      <c r="BP92" s="6" t="n"/>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c r="CM92" s="6" t="n"/>
      <c r="CN92" s="6" t="n"/>
      <c r="CO92" s="6" t="n"/>
      <c r="CP92" s="6" t="n"/>
      <c r="CQ92" s="6" t="n"/>
      <c r="CR92" s="6" t="n"/>
      <c r="CS92" s="6" t="n"/>
      <c r="CT92" s="6" t="n"/>
      <c r="CU92" s="6" t="n"/>
      <c r="CV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c r="AB93" s="6" t="n"/>
      <c r="AC93" s="6" t="n"/>
      <c r="AD93" s="6" t="n"/>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n"/>
      <c r="BP93" s="6" t="n"/>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c r="CM93" s="6" t="n"/>
      <c r="CN93" s="6" t="n"/>
      <c r="CO93" s="6" t="n"/>
      <c r="CP93" s="6" t="n"/>
      <c r="CQ93" s="6" t="n"/>
      <c r="CR93" s="6" t="n"/>
      <c r="CS93" s="6" t="n"/>
      <c r="CT93" s="6" t="n"/>
      <c r="CU93" s="6" t="n"/>
      <c r="CV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c r="AB94" s="6" t="n"/>
      <c r="AC94" s="6" t="n"/>
      <c r="AD94" s="6" t="n"/>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n"/>
      <c r="BP94" s="6" t="n"/>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c r="CM94" s="6" t="n"/>
      <c r="CN94" s="6" t="n"/>
      <c r="CO94" s="6" t="n"/>
      <c r="CP94" s="6" t="n"/>
      <c r="CQ94" s="6" t="n"/>
      <c r="CR94" s="6" t="n"/>
      <c r="CS94" s="6" t="n"/>
      <c r="CT94" s="6" t="n"/>
      <c r="CU94" s="6" t="n"/>
      <c r="CV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c r="AB95" s="6" t="n"/>
      <c r="AC95" s="6" t="n"/>
      <c r="AD95" s="6" t="n"/>
      <c r="AE95" s="6" t="n"/>
      <c r="AF95" s="6" t="n"/>
      <c r="AG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n"/>
      <c r="BP95" s="6" t="n"/>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c r="CM95" s="6" t="n"/>
      <c r="CN95" s="6" t="n"/>
      <c r="CO95" s="6" t="n"/>
      <c r="CP95" s="6" t="n"/>
      <c r="CQ95" s="6" t="n"/>
      <c r="CR95" s="6" t="n"/>
      <c r="CS95" s="6" t="n"/>
      <c r="CT95" s="6" t="n"/>
      <c r="CU95" s="6" t="n"/>
      <c r="CV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c r="AB96" s="6" t="n"/>
      <c r="AC96" s="6" t="n"/>
      <c r="AD96" s="6" t="n"/>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n"/>
      <c r="BP96" s="6" t="n"/>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c r="CM96" s="6" t="n"/>
      <c r="CN96" s="6" t="n"/>
      <c r="CO96" s="6" t="n"/>
      <c r="CP96" s="6" t="n"/>
      <c r="CQ96" s="6" t="n"/>
      <c r="CR96" s="6" t="n"/>
      <c r="CS96" s="6" t="n"/>
      <c r="CT96" s="6" t="n"/>
      <c r="CU96" s="6" t="n"/>
      <c r="CV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c r="AB97" s="6" t="n"/>
      <c r="AC97" s="6" t="n"/>
      <c r="AD97" s="6" t="n"/>
      <c r="AE97" s="6" t="n"/>
      <c r="AF97" s="6" t="n"/>
      <c r="AG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c r="BJ97" s="6" t="n"/>
      <c r="BK97" s="6" t="n"/>
      <c r="BL97" s="6" t="n"/>
      <c r="BM97" s="6" t="n"/>
      <c r="BN97" s="6" t="n"/>
      <c r="BO97" s="6" t="n"/>
      <c r="BP97" s="6" t="n"/>
      <c r="BQ97" s="6" t="n"/>
      <c r="BR97" s="6" t="n"/>
      <c r="BS97" s="6" t="n"/>
      <c r="BT97" s="6" t="n"/>
      <c r="BU97" s="6" t="n"/>
      <c r="BV97" s="6" t="n"/>
      <c r="BW97" s="6" t="n"/>
      <c r="BX97" s="6" t="n"/>
      <c r="BY97" s="6" t="n"/>
      <c r="BZ97" s="6" t="n"/>
      <c r="CA97" s="6" t="n"/>
      <c r="CB97" s="6" t="n"/>
      <c r="CC97" s="6" t="n"/>
      <c r="CD97" s="6" t="n"/>
      <c r="CE97" s="6" t="n"/>
      <c r="CF97" s="6" t="n"/>
      <c r="CG97" s="6" t="n"/>
      <c r="CH97" s="6" t="n"/>
      <c r="CI97" s="6" t="n"/>
      <c r="CJ97" s="6" t="n"/>
      <c r="CK97" s="6" t="n"/>
      <c r="CL97" s="6" t="n"/>
      <c r="CM97" s="6" t="n"/>
      <c r="CN97" s="6" t="n"/>
      <c r="CO97" s="6" t="n"/>
      <c r="CP97" s="6" t="n"/>
      <c r="CQ97" s="6" t="n"/>
      <c r="CR97" s="6" t="n"/>
      <c r="CS97" s="6" t="n"/>
      <c r="CT97" s="6" t="n"/>
      <c r="CU97" s="6" t="n"/>
      <c r="CV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6" t="n"/>
      <c r="AB98" s="6" t="n"/>
      <c r="AC98" s="6" t="n"/>
      <c r="AD98" s="6" t="n"/>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n"/>
      <c r="BJ98" s="6" t="n"/>
      <c r="BK98" s="6" t="n"/>
      <c r="BL98" s="6" t="n"/>
      <c r="BM98" s="6" t="n"/>
      <c r="BN98" s="6" t="n"/>
      <c r="BO98" s="6" t="n"/>
      <c r="BP98" s="6" t="n"/>
      <c r="BQ98" s="6" t="n"/>
      <c r="BR98" s="6" t="n"/>
      <c r="BS98" s="6" t="n"/>
      <c r="BT98" s="6" t="n"/>
      <c r="BU98" s="6" t="n"/>
      <c r="BV98" s="6" t="n"/>
      <c r="BW98" s="6" t="n"/>
      <c r="BX98" s="6" t="n"/>
      <c r="BY98" s="6" t="n"/>
      <c r="BZ98" s="6" t="n"/>
      <c r="CA98" s="6" t="n"/>
      <c r="CB98" s="6" t="n"/>
      <c r="CC98" s="6" t="n"/>
      <c r="CD98" s="6" t="n"/>
      <c r="CE98" s="6" t="n"/>
      <c r="CF98" s="6" t="n"/>
      <c r="CG98" s="6" t="n"/>
      <c r="CH98" s="6" t="n"/>
      <c r="CI98" s="6" t="n"/>
      <c r="CJ98" s="6" t="n"/>
      <c r="CK98" s="6" t="n"/>
      <c r="CL98" s="6" t="n"/>
      <c r="CM98" s="6" t="n"/>
      <c r="CN98" s="6" t="n"/>
      <c r="CO98" s="6" t="n"/>
      <c r="CP98" s="6" t="n"/>
      <c r="CQ98" s="6" t="n"/>
      <c r="CR98" s="6" t="n"/>
      <c r="CS98" s="6" t="n"/>
      <c r="CT98" s="6" t="n"/>
      <c r="CU98" s="6" t="n"/>
      <c r="CV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E99" s="6" t="n"/>
      <c r="AF99" s="6" t="n"/>
      <c r="AG99" s="6" t="n"/>
      <c r="AH99" s="6" t="n"/>
      <c r="AI99" s="6" t="n"/>
      <c r="AJ99" s="6" t="n"/>
      <c r="AK99" s="6" t="n"/>
      <c r="AL99" s="6" t="n"/>
      <c r="AM99" s="6" t="n"/>
      <c r="AN99" s="6" t="n"/>
      <c r="AO99" s="6" t="n"/>
      <c r="AP99" s="6" t="n"/>
      <c r="AQ99" s="6" t="n"/>
      <c r="AR99" s="6" t="n"/>
      <c r="AS99" s="6" t="n"/>
      <c r="AT99" s="6" t="n"/>
      <c r="AU99" s="6" t="n"/>
      <c r="AV99" s="6" t="n"/>
      <c r="AW99" s="6" t="n"/>
      <c r="AX99" s="6" t="n"/>
      <c r="AY99" s="6" t="n"/>
      <c r="AZ99" s="6" t="n"/>
      <c r="BA99" s="6" t="n"/>
      <c r="BB99" s="6" t="n"/>
      <c r="BC99" s="6" t="n"/>
      <c r="BD99" s="6" t="n"/>
      <c r="BE99" s="6" t="n"/>
      <c r="BF99" s="6" t="n"/>
      <c r="BG99" s="6" t="n"/>
      <c r="BH99" s="6" t="n"/>
      <c r="BI99" s="6" t="n"/>
      <c r="BJ99" s="6" t="n"/>
      <c r="BK99" s="6" t="n"/>
      <c r="BL99" s="6" t="n"/>
      <c r="BM99" s="6" t="n"/>
      <c r="BN99" s="6" t="n"/>
      <c r="BO99" s="6" t="n"/>
      <c r="BP99" s="6" t="n"/>
      <c r="BQ99" s="6" t="n"/>
      <c r="BR99" s="6" t="n"/>
      <c r="BS99" s="6" t="n"/>
      <c r="BT99" s="6" t="n"/>
      <c r="BU99" s="6" t="n"/>
      <c r="BV99" s="6" t="n"/>
      <c r="BW99" s="6" t="n"/>
      <c r="BX99" s="6" t="n"/>
      <c r="BY99" s="6" t="n"/>
      <c r="BZ99" s="6" t="n"/>
      <c r="CA99" s="6" t="n"/>
      <c r="CB99" s="6" t="n"/>
      <c r="CC99" s="6" t="n"/>
      <c r="CD99" s="6" t="n"/>
      <c r="CE99" s="6" t="n"/>
      <c r="CF99" s="6" t="n"/>
      <c r="CG99" s="6" t="n"/>
      <c r="CH99" s="6" t="n"/>
      <c r="CI99" s="6" t="n"/>
      <c r="CJ99" s="6" t="n"/>
      <c r="CK99" s="6" t="n"/>
      <c r="CL99" s="6" t="n"/>
      <c r="CM99" s="6" t="n"/>
      <c r="CN99" s="6" t="n"/>
      <c r="CO99" s="6" t="n"/>
      <c r="CP99" s="6" t="n"/>
      <c r="CQ99" s="6" t="n"/>
      <c r="CR99" s="6" t="n"/>
      <c r="CS99" s="6" t="n"/>
      <c r="CT99" s="6" t="n"/>
      <c r="CU99" s="6" t="n"/>
      <c r="CV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n"/>
      <c r="BJ100" s="6" t="n"/>
      <c r="BK100" s="6" t="n"/>
      <c r="BL100" s="6" t="n"/>
      <c r="BM100" s="6" t="n"/>
      <c r="BN100" s="6" t="n"/>
      <c r="BO100" s="6" t="n"/>
      <c r="BP100" s="6" t="n"/>
      <c r="BQ100" s="6" t="n"/>
      <c r="BR100" s="6" t="n"/>
      <c r="BS100" s="6" t="n"/>
      <c r="BT100" s="6" t="n"/>
      <c r="BU100" s="6" t="n"/>
      <c r="BV100" s="6" t="n"/>
      <c r="BW100" s="6" t="n"/>
      <c r="BX100" s="6" t="n"/>
      <c r="BY100" s="6" t="n"/>
      <c r="BZ100" s="6" t="n"/>
      <c r="CA100" s="6" t="n"/>
      <c r="CB100" s="6" t="n"/>
      <c r="CC100" s="6" t="n"/>
      <c r="CD100" s="6" t="n"/>
      <c r="CE100" s="6" t="n"/>
      <c r="CF100" s="6" t="n"/>
      <c r="CG100" s="6" t="n"/>
      <c r="CH100" s="6" t="n"/>
      <c r="CI100" s="6" t="n"/>
      <c r="CJ100" s="6" t="n"/>
      <c r="CK100" s="6" t="n"/>
      <c r="CL100" s="6" t="n"/>
      <c r="CM100" s="6" t="n"/>
      <c r="CN100" s="6" t="n"/>
      <c r="CO100" s="6" t="n"/>
      <c r="CP100" s="6" t="n"/>
      <c r="CQ100" s="6" t="n"/>
      <c r="CR100" s="6" t="n"/>
      <c r="CS100" s="6" t="n"/>
      <c r="CT100" s="6" t="n"/>
      <c r="CU100" s="6" t="n"/>
      <c r="CV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c r="AB101" s="6" t="n"/>
      <c r="AC101" s="6" t="n"/>
      <c r="AD101" s="6" t="n"/>
      <c r="AE101" s="6" t="n"/>
      <c r="AF101" s="6" t="n"/>
      <c r="AG101" s="6" t="n"/>
      <c r="AH101" s="6" t="n"/>
      <c r="AI101" s="6" t="n"/>
      <c r="AJ101" s="6" t="n"/>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n"/>
      <c r="BI101" s="6" t="n"/>
      <c r="BJ101" s="6" t="n"/>
      <c r="BK101" s="6" t="n"/>
      <c r="BL101" s="6" t="n"/>
      <c r="BM101" s="6" t="n"/>
      <c r="BN101" s="6" t="n"/>
      <c r="BO101" s="6" t="n"/>
      <c r="BP101" s="6" t="n"/>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n"/>
      <c r="CT101" s="6" t="n"/>
      <c r="CU101" s="6" t="n"/>
      <c r="CV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c r="AB102" s="6" t="n"/>
      <c r="AC102" s="6" t="n"/>
      <c r="AD102" s="6" t="n"/>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n"/>
      <c r="BJ102" s="6" t="n"/>
      <c r="BK102" s="6" t="n"/>
      <c r="BL102" s="6" t="n"/>
      <c r="BM102" s="6" t="n"/>
      <c r="BN102" s="6" t="n"/>
      <c r="BO102" s="6" t="n"/>
      <c r="BP102" s="6" t="n"/>
      <c r="BQ102" s="6" t="n"/>
      <c r="BR102" s="6" t="n"/>
      <c r="BS102" s="6" t="n"/>
      <c r="BT102" s="6" t="n"/>
      <c r="BU102" s="6" t="n"/>
      <c r="BV102" s="6" t="n"/>
      <c r="BW102" s="6" t="n"/>
      <c r="BX102" s="6" t="n"/>
      <c r="BY102" s="6" t="n"/>
      <c r="BZ102" s="6" t="n"/>
      <c r="CA102" s="6" t="n"/>
      <c r="CB102" s="6" t="n"/>
      <c r="CC102" s="6" t="n"/>
      <c r="CD102" s="6" t="n"/>
      <c r="CE102" s="6" t="n"/>
      <c r="CF102" s="6" t="n"/>
      <c r="CG102" s="6" t="n"/>
      <c r="CH102" s="6" t="n"/>
      <c r="CI102" s="6" t="n"/>
      <c r="CJ102" s="6" t="n"/>
      <c r="CK102" s="6" t="n"/>
      <c r="CL102" s="6" t="n"/>
      <c r="CM102" s="6" t="n"/>
      <c r="CN102" s="6" t="n"/>
      <c r="CO102" s="6" t="n"/>
      <c r="CP102" s="6" t="n"/>
      <c r="CQ102" s="6" t="n"/>
      <c r="CR102" s="6" t="n"/>
      <c r="CS102" s="6" t="n"/>
      <c r="CT102" s="6" t="n"/>
      <c r="CU102" s="6" t="n"/>
      <c r="CV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E103" s="6" t="n"/>
      <c r="AF103" s="6" t="n"/>
      <c r="AG103" s="6" t="n"/>
      <c r="AH103" s="6" t="n"/>
      <c r="AI103" s="6" t="n"/>
      <c r="AJ103" s="6" t="n"/>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n"/>
      <c r="BI103" s="6" t="n"/>
      <c r="BJ103" s="6" t="n"/>
      <c r="BK103" s="6" t="n"/>
      <c r="BL103" s="6" t="n"/>
      <c r="BM103" s="6" t="n"/>
      <c r="BN103" s="6" t="n"/>
      <c r="BO103" s="6" t="n"/>
      <c r="BP103" s="6" t="n"/>
      <c r="BQ103" s="6" t="n"/>
      <c r="BR103" s="6" t="n"/>
      <c r="BS103" s="6" t="n"/>
      <c r="BT103" s="6" t="n"/>
      <c r="BU103" s="6" t="n"/>
      <c r="BV103" s="6" t="n"/>
      <c r="BW103" s="6" t="n"/>
      <c r="BX103" s="6" t="n"/>
      <c r="BY103" s="6" t="n"/>
      <c r="BZ103" s="6" t="n"/>
      <c r="CA103" s="6" t="n"/>
      <c r="CB103" s="6" t="n"/>
      <c r="CC103" s="6" t="n"/>
      <c r="CD103" s="6" t="n"/>
      <c r="CE103" s="6" t="n"/>
      <c r="CF103" s="6" t="n"/>
      <c r="CG103" s="6" t="n"/>
      <c r="CH103" s="6" t="n"/>
      <c r="CI103" s="6" t="n"/>
      <c r="CJ103" s="6" t="n"/>
      <c r="CK103" s="6" t="n"/>
      <c r="CL103" s="6" t="n"/>
      <c r="CM103" s="6" t="n"/>
      <c r="CN103" s="6" t="n"/>
      <c r="CO103" s="6" t="n"/>
      <c r="CP103" s="6" t="n"/>
      <c r="CQ103" s="6" t="n"/>
      <c r="CR103" s="6" t="n"/>
      <c r="CS103" s="6" t="n"/>
      <c r="CT103" s="6" t="n"/>
      <c r="CU103" s="6" t="n"/>
      <c r="CV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c r="AC104" s="6" t="n"/>
      <c r="AD104" s="6" t="n"/>
      <c r="AE104" s="6" t="n"/>
      <c r="AF104" s="6" t="n"/>
      <c r="AG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c r="BJ104" s="6" t="n"/>
      <c r="BK104" s="6" t="n"/>
      <c r="BL104" s="6" t="n"/>
      <c r="BM104" s="6" t="n"/>
      <c r="BN104" s="6" t="n"/>
      <c r="BO104" s="6" t="n"/>
      <c r="BP104" s="6" t="n"/>
      <c r="BQ104" s="6" t="n"/>
      <c r="BR104" s="6" t="n"/>
      <c r="BS104" s="6" t="n"/>
      <c r="BT104" s="6" t="n"/>
      <c r="BU104" s="6" t="n"/>
      <c r="BV104" s="6" t="n"/>
      <c r="BW104" s="6" t="n"/>
      <c r="BX104" s="6" t="n"/>
      <c r="BY104" s="6" t="n"/>
      <c r="BZ104" s="6" t="n"/>
      <c r="CA104" s="6" t="n"/>
      <c r="CB104" s="6" t="n"/>
      <c r="CC104" s="6" t="n"/>
      <c r="CD104" s="6" t="n"/>
      <c r="CE104" s="6" t="n"/>
      <c r="CF104" s="6" t="n"/>
      <c r="CG104" s="6" t="n"/>
      <c r="CH104" s="6" t="n"/>
      <c r="CI104" s="6" t="n"/>
      <c r="CJ104" s="6" t="n"/>
      <c r="CK104" s="6" t="n"/>
      <c r="CL104" s="6" t="n"/>
      <c r="CM104" s="6" t="n"/>
      <c r="CN104" s="6" t="n"/>
      <c r="CO104" s="6" t="n"/>
      <c r="CP104" s="6" t="n"/>
      <c r="CQ104" s="6" t="n"/>
      <c r="CR104" s="6" t="n"/>
      <c r="CS104" s="6" t="n"/>
      <c r="CT104" s="6" t="n"/>
      <c r="CU104" s="6" t="n"/>
      <c r="CV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E105" s="6" t="n"/>
      <c r="AF105" s="6" t="n"/>
      <c r="AG105" s="6" t="n"/>
      <c r="AH105" s="6"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c r="BJ105" s="6" t="n"/>
      <c r="BK105" s="6" t="n"/>
      <c r="BL105" s="6" t="n"/>
      <c r="BM105" s="6" t="n"/>
      <c r="BN105" s="6" t="n"/>
      <c r="BO105" s="6" t="n"/>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n"/>
      <c r="CT105" s="6" t="n"/>
      <c r="CU105" s="6" t="n"/>
      <c r="CV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n"/>
      <c r="BI106" s="6" t="n"/>
      <c r="BJ106" s="6" t="n"/>
      <c r="BK106" s="6" t="n"/>
      <c r="BL106" s="6" t="n"/>
      <c r="BM106" s="6" t="n"/>
      <c r="BN106" s="6" t="n"/>
      <c r="BO106" s="6" t="n"/>
      <c r="BP106" s="6" t="n"/>
      <c r="BQ106" s="6" t="n"/>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c r="CM106" s="6" t="n"/>
      <c r="CN106" s="6" t="n"/>
      <c r="CO106" s="6" t="n"/>
      <c r="CP106" s="6" t="n"/>
      <c r="CQ106" s="6" t="n"/>
      <c r="CR106" s="6" t="n"/>
      <c r="CS106" s="6" t="n"/>
      <c r="CT106" s="6" t="n"/>
      <c r="CU106" s="6" t="n"/>
      <c r="CV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6" t="n"/>
      <c r="AG107" s="6" t="n"/>
      <c r="AH107" s="6" t="n"/>
      <c r="AI107" s="6" t="n"/>
      <c r="AJ107" s="6" t="n"/>
      <c r="AK107" s="6" t="n"/>
      <c r="AL107" s="6" t="n"/>
      <c r="AM107" s="6" t="n"/>
      <c r="AN107" s="6" t="n"/>
      <c r="AO107" s="6" t="n"/>
      <c r="AP107" s="6" t="n"/>
      <c r="AQ107" s="6" t="n"/>
      <c r="AR107" s="6" t="n"/>
      <c r="AS107" s="6" t="n"/>
      <c r="AT107" s="6" t="n"/>
      <c r="AU107" s="6" t="n"/>
      <c r="AV107" s="6" t="n"/>
      <c r="AW107" s="6" t="n"/>
      <c r="AX107" s="6" t="n"/>
      <c r="AY107" s="6" t="n"/>
      <c r="AZ107" s="6" t="n"/>
      <c r="BA107" s="6" t="n"/>
      <c r="BB107" s="6" t="n"/>
      <c r="BC107" s="6" t="n"/>
      <c r="BD107" s="6" t="n"/>
      <c r="BE107" s="6" t="n"/>
      <c r="BF107" s="6" t="n"/>
      <c r="BG107" s="6" t="n"/>
      <c r="BH107" s="6" t="n"/>
      <c r="BI107" s="6" t="n"/>
      <c r="BJ107" s="6" t="n"/>
      <c r="BK107" s="6" t="n"/>
      <c r="BL107" s="6" t="n"/>
      <c r="BM107" s="6" t="n"/>
      <c r="BN107" s="6" t="n"/>
      <c r="BO107" s="6" t="n"/>
      <c r="BP107" s="6" t="n"/>
      <c r="BQ107" s="6" t="n"/>
      <c r="BR107" s="6" t="n"/>
      <c r="BS107" s="6" t="n"/>
      <c r="BT107" s="6" t="n"/>
      <c r="BU107" s="6" t="n"/>
      <c r="BV107" s="6" t="n"/>
      <c r="BW107" s="6" t="n"/>
      <c r="BX107" s="6" t="n"/>
      <c r="BY107" s="6" t="n"/>
      <c r="BZ107" s="6" t="n"/>
      <c r="CA107" s="6" t="n"/>
      <c r="CB107" s="6" t="n"/>
      <c r="CC107" s="6" t="n"/>
      <c r="CD107" s="6" t="n"/>
      <c r="CE107" s="6" t="n"/>
      <c r="CF107" s="6" t="n"/>
      <c r="CG107" s="6" t="n"/>
      <c r="CH107" s="6" t="n"/>
      <c r="CI107" s="6" t="n"/>
      <c r="CJ107" s="6" t="n"/>
      <c r="CK107" s="6" t="n"/>
      <c r="CL107" s="6" t="n"/>
      <c r="CM107" s="6" t="n"/>
      <c r="CN107" s="6" t="n"/>
      <c r="CO107" s="6" t="n"/>
      <c r="CP107" s="6" t="n"/>
      <c r="CQ107" s="6" t="n"/>
      <c r="CR107" s="6" t="n"/>
      <c r="CS107" s="6" t="n"/>
      <c r="CT107" s="6" t="n"/>
      <c r="CU107" s="6" t="n"/>
      <c r="CV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E108" s="6" t="n"/>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n"/>
      <c r="BC108" s="6" t="n"/>
      <c r="BD108" s="6" t="n"/>
      <c r="BE108" s="6" t="n"/>
      <c r="BF108" s="6" t="n"/>
      <c r="BG108" s="6" t="n"/>
      <c r="BH108" s="6" t="n"/>
      <c r="BI108" s="6" t="n"/>
      <c r="BJ108" s="6" t="n"/>
      <c r="BK108" s="6" t="n"/>
      <c r="BL108" s="6" t="n"/>
      <c r="BM108" s="6" t="n"/>
      <c r="BN108" s="6" t="n"/>
      <c r="BO108" s="6" t="n"/>
      <c r="BP108" s="6" t="n"/>
      <c r="BQ108" s="6" t="n"/>
      <c r="BR108" s="6" t="n"/>
      <c r="BS108" s="6" t="n"/>
      <c r="BT108" s="6" t="n"/>
      <c r="BU108" s="6" t="n"/>
      <c r="BV108" s="6" t="n"/>
      <c r="BW108" s="6" t="n"/>
      <c r="BX108" s="6" t="n"/>
      <c r="BY108" s="6" t="n"/>
      <c r="BZ108" s="6" t="n"/>
      <c r="CA108" s="6" t="n"/>
      <c r="CB108" s="6" t="n"/>
      <c r="CC108" s="6" t="n"/>
      <c r="CD108" s="6" t="n"/>
      <c r="CE108" s="6" t="n"/>
      <c r="CF108" s="6" t="n"/>
      <c r="CG108" s="6" t="n"/>
      <c r="CH108" s="6" t="n"/>
      <c r="CI108" s="6" t="n"/>
      <c r="CJ108" s="6" t="n"/>
      <c r="CK108" s="6" t="n"/>
      <c r="CL108" s="6" t="n"/>
      <c r="CM108" s="6" t="n"/>
      <c r="CN108" s="6" t="n"/>
      <c r="CO108" s="6" t="n"/>
      <c r="CP108" s="6" t="n"/>
      <c r="CQ108" s="6" t="n"/>
      <c r="CR108" s="6" t="n"/>
      <c r="CS108" s="6" t="n"/>
      <c r="CT108" s="6" t="n"/>
      <c r="CU108" s="6" t="n"/>
      <c r="CV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c r="AK109" s="6" t="n"/>
      <c r="AL109" s="6" t="n"/>
      <c r="AM109" s="6" t="n"/>
      <c r="AN109" s="6" t="n"/>
      <c r="AO109" s="6" t="n"/>
      <c r="AP109" s="6" t="n"/>
      <c r="AQ109" s="6" t="n"/>
      <c r="AR109" s="6" t="n"/>
      <c r="AS109" s="6" t="n"/>
      <c r="AT109" s="6" t="n"/>
      <c r="AU109" s="6" t="n"/>
      <c r="AV109" s="6" t="n"/>
      <c r="AW109" s="6" t="n"/>
      <c r="AX109" s="6" t="n"/>
      <c r="AY109" s="6" t="n"/>
      <c r="AZ109" s="6" t="n"/>
      <c r="BA109" s="6" t="n"/>
      <c r="BB109" s="6" t="n"/>
      <c r="BC109" s="6" t="n"/>
      <c r="BD109" s="6" t="n"/>
      <c r="BE109" s="6" t="n"/>
      <c r="BF109" s="6" t="n"/>
      <c r="BG109" s="6" t="n"/>
      <c r="BH109" s="6" t="n"/>
      <c r="BI109" s="6" t="n"/>
      <c r="BJ109" s="6" t="n"/>
      <c r="BK109" s="6" t="n"/>
      <c r="BL109" s="6" t="n"/>
      <c r="BM109" s="6" t="n"/>
      <c r="BN109" s="6" t="n"/>
      <c r="BO109" s="6" t="n"/>
      <c r="BP109" s="6" t="n"/>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c r="CM109" s="6" t="n"/>
      <c r="CN109" s="6" t="n"/>
      <c r="CO109" s="6" t="n"/>
      <c r="CP109" s="6" t="n"/>
      <c r="CQ109" s="6" t="n"/>
      <c r="CR109" s="6" t="n"/>
      <c r="CS109" s="6" t="n"/>
      <c r="CT109" s="6" t="n"/>
      <c r="CU109" s="6" t="n"/>
      <c r="CV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E110" s="6" t="n"/>
      <c r="AF110" s="6" t="n"/>
      <c r="AG110" s="6" t="n"/>
      <c r="AH110" s="6" t="n"/>
      <c r="AI110" s="6" t="n"/>
      <c r="AJ110" s="6" t="n"/>
      <c r="AK110" s="6" t="n"/>
      <c r="AL110" s="6" t="n"/>
      <c r="AM110" s="6" t="n"/>
      <c r="AN110" s="6" t="n"/>
      <c r="AO110" s="6" t="n"/>
      <c r="AP110" s="6" t="n"/>
      <c r="AQ110" s="6" t="n"/>
      <c r="AR110" s="6" t="n"/>
      <c r="AS110" s="6" t="n"/>
      <c r="AT110" s="6" t="n"/>
      <c r="AU110" s="6" t="n"/>
      <c r="AV110" s="6" t="n"/>
      <c r="AW110" s="6" t="n"/>
      <c r="AX110" s="6" t="n"/>
      <c r="AY110" s="6" t="n"/>
      <c r="AZ110" s="6" t="n"/>
      <c r="BA110" s="6" t="n"/>
      <c r="BB110" s="6" t="n"/>
      <c r="BC110" s="6" t="n"/>
      <c r="BD110" s="6" t="n"/>
      <c r="BE110" s="6" t="n"/>
      <c r="BF110" s="6" t="n"/>
      <c r="BG110" s="6" t="n"/>
      <c r="BH110" s="6" t="n"/>
      <c r="BI110" s="6" t="n"/>
      <c r="BJ110" s="6" t="n"/>
      <c r="BK110" s="6" t="n"/>
      <c r="BL110" s="6" t="n"/>
      <c r="BM110" s="6" t="n"/>
      <c r="BN110" s="6" t="n"/>
      <c r="BO110" s="6" t="n"/>
      <c r="BP110" s="6" t="n"/>
      <c r="BQ110" s="6" t="n"/>
      <c r="BR110" s="6" t="n"/>
      <c r="BS110" s="6" t="n"/>
      <c r="BT110" s="6" t="n"/>
      <c r="BU110" s="6" t="n"/>
      <c r="BV110" s="6" t="n"/>
      <c r="BW110" s="6" t="n"/>
      <c r="BX110" s="6" t="n"/>
      <c r="BY110" s="6" t="n"/>
      <c r="BZ110" s="6" t="n"/>
      <c r="CA110" s="6" t="n"/>
      <c r="CB110" s="6" t="n"/>
      <c r="CC110" s="6" t="n"/>
      <c r="CD110" s="6" t="n"/>
      <c r="CE110" s="6" t="n"/>
      <c r="CF110" s="6" t="n"/>
      <c r="CG110" s="6" t="n"/>
      <c r="CH110" s="6" t="n"/>
      <c r="CI110" s="6" t="n"/>
      <c r="CJ110" s="6" t="n"/>
      <c r="CK110" s="6" t="n"/>
      <c r="CL110" s="6" t="n"/>
      <c r="CM110" s="6" t="n"/>
      <c r="CN110" s="6" t="n"/>
      <c r="CO110" s="6" t="n"/>
      <c r="CP110" s="6" t="n"/>
      <c r="CQ110" s="6" t="n"/>
      <c r="CR110" s="6" t="n"/>
      <c r="CS110" s="6" t="n"/>
      <c r="CT110" s="6" t="n"/>
      <c r="CU110" s="6" t="n"/>
      <c r="CV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E111" s="6" t="n"/>
      <c r="AF111" s="6" t="n"/>
      <c r="AG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n"/>
      <c r="BC111" s="6" t="n"/>
      <c r="BD111" s="6" t="n"/>
      <c r="BE111" s="6" t="n"/>
      <c r="BF111" s="6" t="n"/>
      <c r="BG111" s="6" t="n"/>
      <c r="BH111" s="6" t="n"/>
      <c r="BI111" s="6" t="n"/>
      <c r="BJ111" s="6" t="n"/>
      <c r="BK111" s="6" t="n"/>
      <c r="BL111" s="6" t="n"/>
      <c r="BM111" s="6" t="n"/>
      <c r="BN111" s="6" t="n"/>
      <c r="BO111" s="6" t="n"/>
      <c r="BP111" s="6" t="n"/>
      <c r="BQ111" s="6" t="n"/>
      <c r="BR111" s="6" t="n"/>
      <c r="BS111" s="6" t="n"/>
      <c r="BT111" s="6" t="n"/>
      <c r="BU111" s="6" t="n"/>
      <c r="BV111" s="6" t="n"/>
      <c r="BW111" s="6" t="n"/>
      <c r="BX111" s="6" t="n"/>
      <c r="BY111" s="6" t="n"/>
      <c r="BZ111" s="6" t="n"/>
      <c r="CA111" s="6" t="n"/>
      <c r="CB111" s="6" t="n"/>
      <c r="CC111" s="6" t="n"/>
      <c r="CD111" s="6" t="n"/>
      <c r="CE111" s="6" t="n"/>
      <c r="CF111" s="6" t="n"/>
      <c r="CG111" s="6" t="n"/>
      <c r="CH111" s="6" t="n"/>
      <c r="CI111" s="6" t="n"/>
      <c r="CJ111" s="6" t="n"/>
      <c r="CK111" s="6" t="n"/>
      <c r="CL111" s="6" t="n"/>
      <c r="CM111" s="6" t="n"/>
      <c r="CN111" s="6" t="n"/>
      <c r="CO111" s="6" t="n"/>
      <c r="CP111" s="6" t="n"/>
      <c r="CQ111" s="6" t="n"/>
      <c r="CR111" s="6" t="n"/>
      <c r="CS111" s="6" t="n"/>
      <c r="CT111" s="6" t="n"/>
      <c r="CU111" s="6" t="n"/>
      <c r="CV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n"/>
      <c r="BC112" s="6" t="n"/>
      <c r="BD112" s="6" t="n"/>
      <c r="BE112" s="6" t="n"/>
      <c r="BF112" s="6" t="n"/>
      <c r="BG112" s="6" t="n"/>
      <c r="BH112" s="6" t="n"/>
      <c r="BI112" s="6" t="n"/>
      <c r="BJ112" s="6" t="n"/>
      <c r="BK112" s="6" t="n"/>
      <c r="BL112" s="6" t="n"/>
      <c r="BM112" s="6" t="n"/>
      <c r="BN112" s="6" t="n"/>
      <c r="BO112" s="6" t="n"/>
      <c r="BP112" s="6" t="n"/>
      <c r="BQ112" s="6" t="n"/>
      <c r="BR112" s="6" t="n"/>
      <c r="BS112" s="6" t="n"/>
      <c r="BT112" s="6" t="n"/>
      <c r="BU112" s="6" t="n"/>
      <c r="BV112" s="6" t="n"/>
      <c r="BW112" s="6" t="n"/>
      <c r="BX112" s="6" t="n"/>
      <c r="BY112" s="6" t="n"/>
      <c r="BZ112" s="6" t="n"/>
      <c r="CA112" s="6" t="n"/>
      <c r="CB112" s="6" t="n"/>
      <c r="CC112" s="6" t="n"/>
      <c r="CD112" s="6" t="n"/>
      <c r="CE112" s="6" t="n"/>
      <c r="CF112" s="6" t="n"/>
      <c r="CG112" s="6" t="n"/>
      <c r="CH112" s="6" t="n"/>
      <c r="CI112" s="6" t="n"/>
      <c r="CJ112" s="6" t="n"/>
      <c r="CK112" s="6" t="n"/>
      <c r="CL112" s="6" t="n"/>
      <c r="CM112" s="6" t="n"/>
      <c r="CN112" s="6" t="n"/>
      <c r="CO112" s="6" t="n"/>
      <c r="CP112" s="6" t="n"/>
      <c r="CQ112" s="6" t="n"/>
      <c r="CR112" s="6" t="n"/>
      <c r="CS112" s="6" t="n"/>
      <c r="CT112" s="6" t="n"/>
      <c r="CU112" s="6" t="n"/>
      <c r="CV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6" t="n"/>
      <c r="AG113" s="6" t="n"/>
      <c r="AH113" s="6" t="n"/>
      <c r="AI113" s="6" t="n"/>
      <c r="AJ113" s="6" t="n"/>
      <c r="AK113" s="6" t="n"/>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n"/>
      <c r="BI113" s="6" t="n"/>
      <c r="BJ113" s="6" t="n"/>
      <c r="BK113" s="6" t="n"/>
      <c r="BL113" s="6" t="n"/>
      <c r="BM113" s="6" t="n"/>
      <c r="BN113" s="6" t="n"/>
      <c r="BO113" s="6" t="n"/>
      <c r="BP113" s="6" t="n"/>
      <c r="BQ113" s="6" t="n"/>
      <c r="BR113" s="6" t="n"/>
      <c r="BS113" s="6" t="n"/>
      <c r="BT113" s="6" t="n"/>
      <c r="BU113" s="6" t="n"/>
      <c r="BV113" s="6" t="n"/>
      <c r="BW113" s="6" t="n"/>
      <c r="BX113" s="6" t="n"/>
      <c r="BY113" s="6" t="n"/>
      <c r="BZ113" s="6" t="n"/>
      <c r="CA113" s="6" t="n"/>
      <c r="CB113" s="6" t="n"/>
      <c r="CC113" s="6" t="n"/>
      <c r="CD113" s="6" t="n"/>
      <c r="CE113" s="6" t="n"/>
      <c r="CF113" s="6" t="n"/>
      <c r="CG113" s="6" t="n"/>
      <c r="CH113" s="6" t="n"/>
      <c r="CI113" s="6" t="n"/>
      <c r="CJ113" s="6" t="n"/>
      <c r="CK113" s="6" t="n"/>
      <c r="CL113" s="6" t="n"/>
      <c r="CM113" s="6" t="n"/>
      <c r="CN113" s="6" t="n"/>
      <c r="CO113" s="6" t="n"/>
      <c r="CP113" s="6" t="n"/>
      <c r="CQ113" s="6" t="n"/>
      <c r="CR113" s="6" t="n"/>
      <c r="CS113" s="6" t="n"/>
      <c r="CT113" s="6" t="n"/>
      <c r="CU113" s="6" t="n"/>
      <c r="CV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E114" s="6" t="n"/>
      <c r="AF114" s="6" t="n"/>
      <c r="AG114" s="6" t="n"/>
      <c r="AH114" s="6" t="n"/>
      <c r="AI114" s="6" t="n"/>
      <c r="AJ114" s="6" t="n"/>
      <c r="AK114" s="6" t="n"/>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n"/>
      <c r="BI114" s="6" t="n"/>
      <c r="BJ114" s="6" t="n"/>
      <c r="BK114" s="6" t="n"/>
      <c r="BL114" s="6" t="n"/>
      <c r="BM114" s="6" t="n"/>
      <c r="BN114" s="6" t="n"/>
      <c r="BO114" s="6" t="n"/>
      <c r="BP114" s="6" t="n"/>
      <c r="BQ114" s="6" t="n"/>
      <c r="BR114" s="6" t="n"/>
      <c r="BS114" s="6" t="n"/>
      <c r="BT114" s="6" t="n"/>
      <c r="BU114" s="6" t="n"/>
      <c r="BV114" s="6" t="n"/>
      <c r="BW114" s="6" t="n"/>
      <c r="BX114" s="6" t="n"/>
      <c r="BY114" s="6" t="n"/>
      <c r="BZ114" s="6" t="n"/>
      <c r="CA114" s="6" t="n"/>
      <c r="CB114" s="6" t="n"/>
      <c r="CC114" s="6" t="n"/>
      <c r="CD114" s="6" t="n"/>
      <c r="CE114" s="6" t="n"/>
      <c r="CF114" s="6" t="n"/>
      <c r="CG114" s="6" t="n"/>
      <c r="CH114" s="6" t="n"/>
      <c r="CI114" s="6" t="n"/>
      <c r="CJ114" s="6" t="n"/>
      <c r="CK114" s="6" t="n"/>
      <c r="CL114" s="6" t="n"/>
      <c r="CM114" s="6" t="n"/>
      <c r="CN114" s="6" t="n"/>
      <c r="CO114" s="6" t="n"/>
      <c r="CP114" s="6" t="n"/>
      <c r="CQ114" s="6" t="n"/>
      <c r="CR114" s="6" t="n"/>
      <c r="CS114" s="6" t="n"/>
      <c r="CT114" s="6" t="n"/>
      <c r="CU114" s="6" t="n"/>
      <c r="CV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n"/>
      <c r="BI115" s="6" t="n"/>
      <c r="BJ115" s="6" t="n"/>
      <c r="BK115" s="6" t="n"/>
      <c r="BL115" s="6" t="n"/>
      <c r="BM115" s="6" t="n"/>
      <c r="BN115" s="6" t="n"/>
      <c r="BO115" s="6" t="n"/>
      <c r="BP115" s="6" t="n"/>
      <c r="BQ115" s="6" t="n"/>
      <c r="BR115" s="6" t="n"/>
      <c r="BS115" s="6" t="n"/>
      <c r="BT115" s="6" t="n"/>
      <c r="BU115" s="6" t="n"/>
      <c r="BV115" s="6" t="n"/>
      <c r="BW115" s="6" t="n"/>
      <c r="BX115" s="6" t="n"/>
      <c r="BY115" s="6" t="n"/>
      <c r="BZ115" s="6" t="n"/>
      <c r="CA115" s="6" t="n"/>
      <c r="CB115" s="6" t="n"/>
      <c r="CC115" s="6" t="n"/>
      <c r="CD115" s="6" t="n"/>
      <c r="CE115" s="6" t="n"/>
      <c r="CF115" s="6" t="n"/>
      <c r="CG115" s="6" t="n"/>
      <c r="CH115" s="6" t="n"/>
      <c r="CI115" s="6" t="n"/>
      <c r="CJ115" s="6" t="n"/>
      <c r="CK115" s="6" t="n"/>
      <c r="CL115" s="6" t="n"/>
      <c r="CM115" s="6" t="n"/>
      <c r="CN115" s="6" t="n"/>
      <c r="CO115" s="6" t="n"/>
      <c r="CP115" s="6" t="n"/>
      <c r="CQ115" s="6" t="n"/>
      <c r="CR115" s="6" t="n"/>
      <c r="CS115" s="6" t="n"/>
      <c r="CT115" s="6" t="n"/>
      <c r="CU115" s="6" t="n"/>
      <c r="CV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n"/>
      <c r="AG116" s="6" t="n"/>
      <c r="AH116" s="6" t="n"/>
      <c r="AI116" s="6" t="n"/>
      <c r="AJ116" s="6" t="n"/>
      <c r="AK116" s="6" t="n"/>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n"/>
      <c r="BI116" s="6" t="n"/>
      <c r="BJ116" s="6" t="n"/>
      <c r="BK116" s="6" t="n"/>
      <c r="BL116" s="6" t="n"/>
      <c r="BM116" s="6" t="n"/>
      <c r="BN116" s="6" t="n"/>
      <c r="BO116" s="6" t="n"/>
      <c r="BP116" s="6" t="n"/>
      <c r="BQ116" s="6" t="n"/>
      <c r="BR116" s="6" t="n"/>
      <c r="BS116" s="6" t="n"/>
      <c r="BT116" s="6" t="n"/>
      <c r="BU116" s="6" t="n"/>
      <c r="BV116" s="6" t="n"/>
      <c r="BW116" s="6" t="n"/>
      <c r="BX116" s="6" t="n"/>
      <c r="BY116" s="6" t="n"/>
      <c r="BZ116" s="6" t="n"/>
      <c r="CA116" s="6" t="n"/>
      <c r="CB116" s="6" t="n"/>
      <c r="CC116" s="6" t="n"/>
      <c r="CD116" s="6" t="n"/>
      <c r="CE116" s="6" t="n"/>
      <c r="CF116" s="6" t="n"/>
      <c r="CG116" s="6" t="n"/>
      <c r="CH116" s="6" t="n"/>
      <c r="CI116" s="6" t="n"/>
      <c r="CJ116" s="6" t="n"/>
      <c r="CK116" s="6" t="n"/>
      <c r="CL116" s="6" t="n"/>
      <c r="CM116" s="6" t="n"/>
      <c r="CN116" s="6" t="n"/>
      <c r="CO116" s="6" t="n"/>
      <c r="CP116" s="6" t="n"/>
      <c r="CQ116" s="6" t="n"/>
      <c r="CR116" s="6" t="n"/>
      <c r="CS116" s="6" t="n"/>
      <c r="CT116" s="6" t="n"/>
      <c r="CU116" s="6" t="n"/>
      <c r="CV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n"/>
      <c r="AG117" s="6" t="n"/>
      <c r="AH117" s="6" t="n"/>
      <c r="AI117" s="6" t="n"/>
      <c r="AJ117" s="6" t="n"/>
      <c r="AK117" s="6" t="n"/>
      <c r="AL117" s="6" t="n"/>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n"/>
      <c r="BI117" s="6" t="n"/>
      <c r="BJ117" s="6" t="n"/>
      <c r="BK117" s="6" t="n"/>
      <c r="BL117" s="6" t="n"/>
      <c r="BM117" s="6" t="n"/>
      <c r="BN117" s="6" t="n"/>
      <c r="BO117" s="6" t="n"/>
      <c r="BP117" s="6" t="n"/>
      <c r="BQ117" s="6" t="n"/>
      <c r="BR117" s="6" t="n"/>
      <c r="BS117" s="6" t="n"/>
      <c r="BT117" s="6" t="n"/>
      <c r="BU117" s="6" t="n"/>
      <c r="BV117" s="6" t="n"/>
      <c r="BW117" s="6" t="n"/>
      <c r="BX117" s="6" t="n"/>
      <c r="BY117" s="6" t="n"/>
      <c r="BZ117" s="6" t="n"/>
      <c r="CA117" s="6" t="n"/>
      <c r="CB117" s="6" t="n"/>
      <c r="CC117" s="6" t="n"/>
      <c r="CD117" s="6" t="n"/>
      <c r="CE117" s="6" t="n"/>
      <c r="CF117" s="6" t="n"/>
      <c r="CG117" s="6" t="n"/>
      <c r="CH117" s="6" t="n"/>
      <c r="CI117" s="6" t="n"/>
      <c r="CJ117" s="6" t="n"/>
      <c r="CK117" s="6" t="n"/>
      <c r="CL117" s="6" t="n"/>
      <c r="CM117" s="6" t="n"/>
      <c r="CN117" s="6" t="n"/>
      <c r="CO117" s="6" t="n"/>
      <c r="CP117" s="6" t="n"/>
      <c r="CQ117" s="6" t="n"/>
      <c r="CR117" s="6" t="n"/>
      <c r="CS117" s="6" t="n"/>
      <c r="CT117" s="6" t="n"/>
      <c r="CU117" s="6" t="n"/>
      <c r="CV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n"/>
      <c r="BI118" s="6" t="n"/>
      <c r="BJ118" s="6" t="n"/>
      <c r="BK118" s="6" t="n"/>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c r="CM118" s="6" t="n"/>
      <c r="CN118" s="6" t="n"/>
      <c r="CO118" s="6" t="n"/>
      <c r="CP118" s="6" t="n"/>
      <c r="CQ118" s="6" t="n"/>
      <c r="CR118" s="6" t="n"/>
      <c r="CS118" s="6" t="n"/>
      <c r="CT118" s="6" t="n"/>
      <c r="CU118" s="6" t="n"/>
      <c r="CV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n"/>
      <c r="BI119" s="6" t="n"/>
      <c r="BJ119" s="6" t="n"/>
      <c r="BK119" s="6" t="n"/>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c r="CM119" s="6" t="n"/>
      <c r="CN119" s="6" t="n"/>
      <c r="CO119" s="6" t="n"/>
      <c r="CP119" s="6" t="n"/>
      <c r="CQ119" s="6" t="n"/>
      <c r="CR119" s="6" t="n"/>
      <c r="CS119" s="6" t="n"/>
      <c r="CT119" s="6" t="n"/>
      <c r="CU119" s="6" t="n"/>
      <c r="CV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n"/>
      <c r="BI120" s="6" t="n"/>
      <c r="BJ120" s="6" t="n"/>
      <c r="BK120" s="6" t="n"/>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c r="CM120" s="6" t="n"/>
      <c r="CN120" s="6" t="n"/>
      <c r="CO120" s="6" t="n"/>
      <c r="CP120" s="6" t="n"/>
      <c r="CQ120" s="6" t="n"/>
      <c r="CR120" s="6" t="n"/>
      <c r="CS120" s="6" t="n"/>
      <c r="CT120" s="6" t="n"/>
      <c r="CU120" s="6" t="n"/>
      <c r="CV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n"/>
      <c r="BI121" s="6" t="n"/>
      <c r="BJ121" s="6" t="n"/>
      <c r="BK121" s="6" t="n"/>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c r="CM121" s="6" t="n"/>
      <c r="CN121" s="6" t="n"/>
      <c r="CO121" s="6" t="n"/>
      <c r="CP121" s="6" t="n"/>
      <c r="CQ121" s="6" t="n"/>
      <c r="CR121" s="6" t="n"/>
      <c r="CS121" s="6" t="n"/>
      <c r="CT121" s="6" t="n"/>
      <c r="CU121" s="6" t="n"/>
      <c r="CV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n"/>
      <c r="BI122" s="6" t="n"/>
      <c r="BJ122" s="6" t="n"/>
      <c r="BK122" s="6" t="n"/>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c r="CM122" s="6" t="n"/>
      <c r="CN122" s="6" t="n"/>
      <c r="CO122" s="6" t="n"/>
      <c r="CP122" s="6" t="n"/>
      <c r="CQ122" s="6" t="n"/>
      <c r="CR122" s="6" t="n"/>
      <c r="CS122" s="6" t="n"/>
      <c r="CT122" s="6" t="n"/>
      <c r="CU122" s="6" t="n"/>
      <c r="CV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n"/>
      <c r="AJ123" s="6" t="n"/>
      <c r="AK123" s="6" t="n"/>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n"/>
      <c r="BI123" s="6" t="n"/>
      <c r="BJ123" s="6" t="n"/>
      <c r="BK123" s="6" t="n"/>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c r="CM123" s="6" t="n"/>
      <c r="CN123" s="6" t="n"/>
      <c r="CO123" s="6" t="n"/>
      <c r="CP123" s="6" t="n"/>
      <c r="CQ123" s="6" t="n"/>
      <c r="CR123" s="6" t="n"/>
      <c r="CS123" s="6" t="n"/>
      <c r="CT123" s="6" t="n"/>
      <c r="CU123" s="6" t="n"/>
      <c r="CV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n"/>
      <c r="BI124" s="6" t="n"/>
      <c r="BJ124" s="6" t="n"/>
      <c r="BK124" s="6" t="n"/>
      <c r="BL124" s="6" t="n"/>
      <c r="BM124" s="6" t="n"/>
      <c r="BN124" s="6" t="n"/>
      <c r="BO124" s="6" t="n"/>
      <c r="BP124" s="6" t="n"/>
      <c r="BQ124" s="6" t="n"/>
      <c r="BR124" s="6" t="n"/>
      <c r="BS124" s="6" t="n"/>
      <c r="BT124" s="6" t="n"/>
      <c r="BU124" s="6" t="n"/>
      <c r="BV124" s="6" t="n"/>
      <c r="BW124" s="6" t="n"/>
      <c r="BX124" s="6" t="n"/>
      <c r="BY124" s="6" t="n"/>
      <c r="BZ124" s="6" t="n"/>
      <c r="CA124" s="6" t="n"/>
      <c r="CB124" s="6" t="n"/>
      <c r="CC124" s="6" t="n"/>
      <c r="CD124" s="6" t="n"/>
      <c r="CE124" s="6" t="n"/>
      <c r="CF124" s="6" t="n"/>
      <c r="CG124" s="6" t="n"/>
      <c r="CH124" s="6" t="n"/>
      <c r="CI124" s="6" t="n"/>
      <c r="CJ124" s="6" t="n"/>
      <c r="CK124" s="6" t="n"/>
      <c r="CL124" s="6" t="n"/>
      <c r="CM124" s="6" t="n"/>
      <c r="CN124" s="6" t="n"/>
      <c r="CO124" s="6" t="n"/>
      <c r="CP124" s="6" t="n"/>
      <c r="CQ124" s="6" t="n"/>
      <c r="CR124" s="6" t="n"/>
      <c r="CS124" s="6" t="n"/>
      <c r="CT124" s="6" t="n"/>
      <c r="CU124" s="6" t="n"/>
      <c r="CV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n"/>
      <c r="BI125" s="6" t="n"/>
      <c r="BJ125" s="6" t="n"/>
      <c r="BK125" s="6" t="n"/>
      <c r="BL125" s="6" t="n"/>
      <c r="BM125" s="6" t="n"/>
      <c r="BN125" s="6" t="n"/>
      <c r="BO125" s="6" t="n"/>
      <c r="BP125" s="6" t="n"/>
      <c r="BQ125" s="6" t="n"/>
      <c r="BR125" s="6" t="n"/>
      <c r="BS125" s="6" t="n"/>
      <c r="BT125" s="6" t="n"/>
      <c r="BU125" s="6" t="n"/>
      <c r="BV125" s="6" t="n"/>
      <c r="BW125" s="6" t="n"/>
      <c r="BX125" s="6" t="n"/>
      <c r="BY125" s="6" t="n"/>
      <c r="BZ125" s="6" t="n"/>
      <c r="CA125" s="6" t="n"/>
      <c r="CB125" s="6" t="n"/>
      <c r="CC125" s="6" t="n"/>
      <c r="CD125" s="6" t="n"/>
      <c r="CE125" s="6" t="n"/>
      <c r="CF125" s="6" t="n"/>
      <c r="CG125" s="6" t="n"/>
      <c r="CH125" s="6" t="n"/>
      <c r="CI125" s="6" t="n"/>
      <c r="CJ125" s="6" t="n"/>
      <c r="CK125" s="6" t="n"/>
      <c r="CL125" s="6" t="n"/>
      <c r="CM125" s="6" t="n"/>
      <c r="CN125" s="6" t="n"/>
      <c r="CO125" s="6" t="n"/>
      <c r="CP125" s="6" t="n"/>
      <c r="CQ125" s="6" t="n"/>
      <c r="CR125" s="6" t="n"/>
      <c r="CS125" s="6" t="n"/>
      <c r="CT125" s="6" t="n"/>
      <c r="CU125" s="6" t="n"/>
      <c r="CV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n"/>
      <c r="AG126" s="6" t="n"/>
      <c r="AH126" s="6" t="n"/>
      <c r="AI126" s="6" t="n"/>
      <c r="AJ126" s="6" t="n"/>
      <c r="AK126" s="6" t="n"/>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n"/>
      <c r="BI126" s="6" t="n"/>
      <c r="BJ126" s="6" t="n"/>
      <c r="BK126" s="6" t="n"/>
      <c r="BL126" s="6" t="n"/>
      <c r="BM126" s="6" t="n"/>
      <c r="BN126" s="6" t="n"/>
      <c r="BO126" s="6" t="n"/>
      <c r="BP126" s="6" t="n"/>
      <c r="BQ126" s="6" t="n"/>
      <c r="BR126" s="6" t="n"/>
      <c r="BS126" s="6" t="n"/>
      <c r="BT126" s="6" t="n"/>
      <c r="BU126" s="6" t="n"/>
      <c r="BV126" s="6" t="n"/>
      <c r="BW126" s="6" t="n"/>
      <c r="BX126" s="6" t="n"/>
      <c r="BY126" s="6" t="n"/>
      <c r="BZ126" s="6" t="n"/>
      <c r="CA126" s="6" t="n"/>
      <c r="CB126" s="6" t="n"/>
      <c r="CC126" s="6" t="n"/>
      <c r="CD126" s="6" t="n"/>
      <c r="CE126" s="6" t="n"/>
      <c r="CF126" s="6" t="n"/>
      <c r="CG126" s="6" t="n"/>
      <c r="CH126" s="6" t="n"/>
      <c r="CI126" s="6" t="n"/>
      <c r="CJ126" s="6" t="n"/>
      <c r="CK126" s="6" t="n"/>
      <c r="CL126" s="6" t="n"/>
      <c r="CM126" s="6" t="n"/>
      <c r="CN126" s="6" t="n"/>
      <c r="CO126" s="6" t="n"/>
      <c r="CP126" s="6" t="n"/>
      <c r="CQ126" s="6" t="n"/>
      <c r="CR126" s="6" t="n"/>
      <c r="CS126" s="6" t="n"/>
      <c r="CT126" s="6" t="n"/>
      <c r="CU126" s="6" t="n"/>
      <c r="CV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n"/>
      <c r="BI127" s="6" t="n"/>
      <c r="BJ127" s="6" t="n"/>
      <c r="BK127" s="6" t="n"/>
      <c r="BL127" s="6" t="n"/>
      <c r="BM127" s="6" t="n"/>
      <c r="BN127" s="6" t="n"/>
      <c r="BO127" s="6" t="n"/>
      <c r="BP127" s="6" t="n"/>
      <c r="BQ127" s="6" t="n"/>
      <c r="BR127" s="6" t="n"/>
      <c r="BS127" s="6" t="n"/>
      <c r="BT127" s="6" t="n"/>
      <c r="BU127" s="6" t="n"/>
      <c r="BV127" s="6" t="n"/>
      <c r="BW127" s="6" t="n"/>
      <c r="BX127" s="6" t="n"/>
      <c r="BY127" s="6" t="n"/>
      <c r="BZ127" s="6" t="n"/>
      <c r="CA127" s="6" t="n"/>
      <c r="CB127" s="6" t="n"/>
      <c r="CC127" s="6" t="n"/>
      <c r="CD127" s="6" t="n"/>
      <c r="CE127" s="6" t="n"/>
      <c r="CF127" s="6" t="n"/>
      <c r="CG127" s="6" t="n"/>
      <c r="CH127" s="6" t="n"/>
      <c r="CI127" s="6" t="n"/>
      <c r="CJ127" s="6" t="n"/>
      <c r="CK127" s="6" t="n"/>
      <c r="CL127" s="6" t="n"/>
      <c r="CM127" s="6" t="n"/>
      <c r="CN127" s="6" t="n"/>
      <c r="CO127" s="6" t="n"/>
      <c r="CP127" s="6" t="n"/>
      <c r="CQ127" s="6" t="n"/>
      <c r="CR127" s="6" t="n"/>
      <c r="CS127" s="6" t="n"/>
      <c r="CT127" s="6" t="n"/>
      <c r="CU127" s="6" t="n"/>
      <c r="CV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n"/>
      <c r="BI128" s="6" t="n"/>
      <c r="BJ128" s="6" t="n"/>
      <c r="BK128" s="6" t="n"/>
      <c r="BL128" s="6" t="n"/>
      <c r="BM128" s="6" t="n"/>
      <c r="BN128" s="6" t="n"/>
      <c r="BO128" s="6" t="n"/>
      <c r="BP128" s="6" t="n"/>
      <c r="BQ128" s="6" t="n"/>
      <c r="BR128" s="6" t="n"/>
      <c r="BS128" s="6" t="n"/>
      <c r="BT128" s="6" t="n"/>
      <c r="BU128" s="6" t="n"/>
      <c r="BV128" s="6" t="n"/>
      <c r="BW128" s="6" t="n"/>
      <c r="BX128" s="6" t="n"/>
      <c r="BY128" s="6" t="n"/>
      <c r="BZ128" s="6" t="n"/>
      <c r="CA128" s="6" t="n"/>
      <c r="CB128" s="6" t="n"/>
      <c r="CC128" s="6" t="n"/>
      <c r="CD128" s="6" t="n"/>
      <c r="CE128" s="6" t="n"/>
      <c r="CF128" s="6" t="n"/>
      <c r="CG128" s="6" t="n"/>
      <c r="CH128" s="6" t="n"/>
      <c r="CI128" s="6" t="n"/>
      <c r="CJ128" s="6" t="n"/>
      <c r="CK128" s="6" t="n"/>
      <c r="CL128" s="6" t="n"/>
      <c r="CM128" s="6" t="n"/>
      <c r="CN128" s="6" t="n"/>
      <c r="CO128" s="6" t="n"/>
      <c r="CP128" s="6" t="n"/>
      <c r="CQ128" s="6" t="n"/>
      <c r="CR128" s="6" t="n"/>
      <c r="CS128" s="6" t="n"/>
      <c r="CT128" s="6" t="n"/>
      <c r="CU128" s="6" t="n"/>
      <c r="CV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n"/>
      <c r="BI129" s="6" t="n"/>
      <c r="BJ129" s="6" t="n"/>
      <c r="BK129" s="6" t="n"/>
      <c r="BL129" s="6" t="n"/>
      <c r="BM129" s="6" t="n"/>
      <c r="BN129" s="6" t="n"/>
      <c r="BO129" s="6" t="n"/>
      <c r="BP129" s="6" t="n"/>
      <c r="BQ129" s="6" t="n"/>
      <c r="BR129" s="6" t="n"/>
      <c r="BS129" s="6" t="n"/>
      <c r="BT129" s="6" t="n"/>
      <c r="BU129" s="6" t="n"/>
      <c r="BV129" s="6" t="n"/>
      <c r="BW129" s="6" t="n"/>
      <c r="BX129" s="6" t="n"/>
      <c r="BY129" s="6" t="n"/>
      <c r="BZ129" s="6" t="n"/>
      <c r="CA129" s="6" t="n"/>
      <c r="CB129" s="6" t="n"/>
      <c r="CC129" s="6" t="n"/>
      <c r="CD129" s="6" t="n"/>
      <c r="CE129" s="6" t="n"/>
      <c r="CF129" s="6" t="n"/>
      <c r="CG129" s="6" t="n"/>
      <c r="CH129" s="6" t="n"/>
      <c r="CI129" s="6" t="n"/>
      <c r="CJ129" s="6" t="n"/>
      <c r="CK129" s="6" t="n"/>
      <c r="CL129" s="6" t="n"/>
      <c r="CM129" s="6" t="n"/>
      <c r="CN129" s="6" t="n"/>
      <c r="CO129" s="6" t="n"/>
      <c r="CP129" s="6" t="n"/>
      <c r="CQ129" s="6" t="n"/>
      <c r="CR129" s="6" t="n"/>
      <c r="CS129" s="6" t="n"/>
      <c r="CT129" s="6" t="n"/>
      <c r="CU129" s="6" t="n"/>
      <c r="CV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n"/>
      <c r="BI130" s="6" t="n"/>
      <c r="BJ130" s="6" t="n"/>
      <c r="BK130" s="6" t="n"/>
      <c r="BL130" s="6" t="n"/>
      <c r="BM130" s="6" t="n"/>
      <c r="BN130" s="6" t="n"/>
      <c r="BO130" s="6" t="n"/>
      <c r="BP130" s="6" t="n"/>
      <c r="BQ130" s="6" t="n"/>
      <c r="BR130" s="6" t="n"/>
      <c r="BS130" s="6" t="n"/>
      <c r="BT130" s="6" t="n"/>
      <c r="BU130" s="6" t="n"/>
      <c r="BV130" s="6" t="n"/>
      <c r="BW130" s="6" t="n"/>
      <c r="BX130" s="6" t="n"/>
      <c r="BY130" s="6" t="n"/>
      <c r="BZ130" s="6" t="n"/>
      <c r="CA130" s="6" t="n"/>
      <c r="CB130" s="6" t="n"/>
      <c r="CC130" s="6" t="n"/>
      <c r="CD130" s="6" t="n"/>
      <c r="CE130" s="6" t="n"/>
      <c r="CF130" s="6" t="n"/>
      <c r="CG130" s="6" t="n"/>
      <c r="CH130" s="6" t="n"/>
      <c r="CI130" s="6" t="n"/>
      <c r="CJ130" s="6" t="n"/>
      <c r="CK130" s="6" t="n"/>
      <c r="CL130" s="6" t="n"/>
      <c r="CM130" s="6" t="n"/>
      <c r="CN130" s="6" t="n"/>
      <c r="CO130" s="6" t="n"/>
      <c r="CP130" s="6" t="n"/>
      <c r="CQ130" s="6" t="n"/>
      <c r="CR130" s="6" t="n"/>
      <c r="CS130" s="6" t="n"/>
      <c r="CT130" s="6" t="n"/>
      <c r="CU130" s="6" t="n"/>
      <c r="CV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n"/>
      <c r="BI131" s="6" t="n"/>
      <c r="BJ131" s="6" t="n"/>
      <c r="BK131" s="6" t="n"/>
      <c r="BL131" s="6" t="n"/>
      <c r="BM131" s="6" t="n"/>
      <c r="BN131" s="6" t="n"/>
      <c r="BO131" s="6" t="n"/>
      <c r="BP131" s="6" t="n"/>
      <c r="BQ131" s="6" t="n"/>
      <c r="BR131" s="6" t="n"/>
      <c r="BS131" s="6" t="n"/>
      <c r="BT131" s="6" t="n"/>
      <c r="BU131" s="6" t="n"/>
      <c r="BV131" s="6" t="n"/>
      <c r="BW131" s="6" t="n"/>
      <c r="BX131" s="6" t="n"/>
      <c r="BY131" s="6" t="n"/>
      <c r="BZ131" s="6" t="n"/>
      <c r="CA131" s="6" t="n"/>
      <c r="CB131" s="6" t="n"/>
      <c r="CC131" s="6" t="n"/>
      <c r="CD131" s="6" t="n"/>
      <c r="CE131" s="6" t="n"/>
      <c r="CF131" s="6" t="n"/>
      <c r="CG131" s="6" t="n"/>
      <c r="CH131" s="6" t="n"/>
      <c r="CI131" s="6" t="n"/>
      <c r="CJ131" s="6" t="n"/>
      <c r="CK131" s="6" t="n"/>
      <c r="CL131" s="6" t="n"/>
      <c r="CM131" s="6" t="n"/>
      <c r="CN131" s="6" t="n"/>
      <c r="CO131" s="6" t="n"/>
      <c r="CP131" s="6" t="n"/>
      <c r="CQ131" s="6" t="n"/>
      <c r="CR131" s="6" t="n"/>
      <c r="CS131" s="6" t="n"/>
      <c r="CT131" s="6" t="n"/>
      <c r="CU131" s="6" t="n"/>
      <c r="CV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n"/>
      <c r="BI132" s="6" t="n"/>
      <c r="BJ132" s="6" t="n"/>
      <c r="BK132" s="6" t="n"/>
      <c r="BL132" s="6" t="n"/>
      <c r="BM132" s="6" t="n"/>
      <c r="BN132" s="6" t="n"/>
      <c r="BO132" s="6" t="n"/>
      <c r="BP132" s="6" t="n"/>
      <c r="BQ132" s="6" t="n"/>
      <c r="BR132" s="6" t="n"/>
      <c r="BS132" s="6" t="n"/>
      <c r="BT132" s="6" t="n"/>
      <c r="BU132" s="6" t="n"/>
      <c r="BV132" s="6" t="n"/>
      <c r="BW132" s="6" t="n"/>
      <c r="BX132" s="6" t="n"/>
      <c r="BY132" s="6" t="n"/>
      <c r="BZ132" s="6" t="n"/>
      <c r="CA132" s="6" t="n"/>
      <c r="CB132" s="6" t="n"/>
      <c r="CC132" s="6" t="n"/>
      <c r="CD132" s="6" t="n"/>
      <c r="CE132" s="6" t="n"/>
      <c r="CF132" s="6" t="n"/>
      <c r="CG132" s="6" t="n"/>
      <c r="CH132" s="6" t="n"/>
      <c r="CI132" s="6" t="n"/>
      <c r="CJ132" s="6" t="n"/>
      <c r="CK132" s="6" t="n"/>
      <c r="CL132" s="6" t="n"/>
      <c r="CM132" s="6" t="n"/>
      <c r="CN132" s="6" t="n"/>
      <c r="CO132" s="6" t="n"/>
      <c r="CP132" s="6" t="n"/>
      <c r="CQ132" s="6" t="n"/>
      <c r="CR132" s="6" t="n"/>
      <c r="CS132" s="6" t="n"/>
      <c r="CT132" s="6" t="n"/>
      <c r="CU132" s="6" t="n"/>
      <c r="CV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n"/>
      <c r="BI133" s="6" t="n"/>
      <c r="BJ133" s="6" t="n"/>
      <c r="BK133" s="6" t="n"/>
      <c r="BL133" s="6" t="n"/>
      <c r="BM133" s="6" t="n"/>
      <c r="BN133" s="6" t="n"/>
      <c r="BO133" s="6" t="n"/>
      <c r="BP133" s="6" t="n"/>
      <c r="BQ133" s="6" t="n"/>
      <c r="BR133" s="6" t="n"/>
      <c r="BS133" s="6" t="n"/>
      <c r="BT133" s="6" t="n"/>
      <c r="BU133" s="6" t="n"/>
      <c r="BV133" s="6" t="n"/>
      <c r="BW133" s="6" t="n"/>
      <c r="BX133" s="6" t="n"/>
      <c r="BY133" s="6" t="n"/>
      <c r="BZ133" s="6" t="n"/>
      <c r="CA133" s="6" t="n"/>
      <c r="CB133" s="6" t="n"/>
      <c r="CC133" s="6" t="n"/>
      <c r="CD133" s="6" t="n"/>
      <c r="CE133" s="6" t="n"/>
      <c r="CF133" s="6" t="n"/>
      <c r="CG133" s="6" t="n"/>
      <c r="CH133" s="6" t="n"/>
      <c r="CI133" s="6" t="n"/>
      <c r="CJ133" s="6" t="n"/>
      <c r="CK133" s="6" t="n"/>
      <c r="CL133" s="6" t="n"/>
      <c r="CM133" s="6" t="n"/>
      <c r="CN133" s="6" t="n"/>
      <c r="CO133" s="6" t="n"/>
      <c r="CP133" s="6" t="n"/>
      <c r="CQ133" s="6" t="n"/>
      <c r="CR133" s="6" t="n"/>
      <c r="CS133" s="6" t="n"/>
      <c r="CT133" s="6" t="n"/>
      <c r="CU133" s="6" t="n"/>
      <c r="CV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n"/>
      <c r="BI134" s="6" t="n"/>
      <c r="BJ134" s="6" t="n"/>
      <c r="BK134" s="6" t="n"/>
      <c r="BL134" s="6" t="n"/>
      <c r="BM134" s="6" t="n"/>
      <c r="BN134" s="6" t="n"/>
      <c r="BO134" s="6" t="n"/>
      <c r="BP134" s="6" t="n"/>
      <c r="BQ134" s="6" t="n"/>
      <c r="BR134" s="6" t="n"/>
      <c r="BS134" s="6" t="n"/>
      <c r="BT134" s="6" t="n"/>
      <c r="BU134" s="6" t="n"/>
      <c r="BV134" s="6" t="n"/>
      <c r="BW134" s="6" t="n"/>
      <c r="BX134" s="6" t="n"/>
      <c r="BY134" s="6" t="n"/>
      <c r="BZ134" s="6" t="n"/>
      <c r="CA134" s="6" t="n"/>
      <c r="CB134" s="6" t="n"/>
      <c r="CC134" s="6" t="n"/>
      <c r="CD134" s="6" t="n"/>
      <c r="CE134" s="6" t="n"/>
      <c r="CF134" s="6" t="n"/>
      <c r="CG134" s="6" t="n"/>
      <c r="CH134" s="6" t="n"/>
      <c r="CI134" s="6" t="n"/>
      <c r="CJ134" s="6" t="n"/>
      <c r="CK134" s="6" t="n"/>
      <c r="CL134" s="6" t="n"/>
      <c r="CM134" s="6" t="n"/>
      <c r="CN134" s="6" t="n"/>
      <c r="CO134" s="6" t="n"/>
      <c r="CP134" s="6" t="n"/>
      <c r="CQ134" s="6" t="n"/>
      <c r="CR134" s="6" t="n"/>
      <c r="CS134" s="6" t="n"/>
      <c r="CT134" s="6" t="n"/>
      <c r="CU134" s="6" t="n"/>
      <c r="CV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n"/>
      <c r="BI135" s="6" t="n"/>
      <c r="BJ135" s="6" t="n"/>
      <c r="BK135" s="6" t="n"/>
      <c r="BL135" s="6" t="n"/>
      <c r="BM135" s="6" t="n"/>
      <c r="BN135" s="6" t="n"/>
      <c r="BO135" s="6" t="n"/>
      <c r="BP135" s="6" t="n"/>
      <c r="BQ135" s="6" t="n"/>
      <c r="BR135" s="6" t="n"/>
      <c r="BS135" s="6" t="n"/>
      <c r="BT135" s="6" t="n"/>
      <c r="BU135" s="6" t="n"/>
      <c r="BV135" s="6" t="n"/>
      <c r="BW135" s="6" t="n"/>
      <c r="BX135" s="6" t="n"/>
      <c r="BY135" s="6" t="n"/>
      <c r="BZ135" s="6" t="n"/>
      <c r="CA135" s="6" t="n"/>
      <c r="CB135" s="6" t="n"/>
      <c r="CC135" s="6" t="n"/>
      <c r="CD135" s="6" t="n"/>
      <c r="CE135" s="6" t="n"/>
      <c r="CF135" s="6" t="n"/>
      <c r="CG135" s="6" t="n"/>
      <c r="CH135" s="6" t="n"/>
      <c r="CI135" s="6" t="n"/>
      <c r="CJ135" s="6" t="n"/>
      <c r="CK135" s="6" t="n"/>
      <c r="CL135" s="6" t="n"/>
      <c r="CM135" s="6" t="n"/>
      <c r="CN135" s="6" t="n"/>
      <c r="CO135" s="6" t="n"/>
      <c r="CP135" s="6" t="n"/>
      <c r="CQ135" s="6" t="n"/>
      <c r="CR135" s="6" t="n"/>
      <c r="CS135" s="6" t="n"/>
      <c r="CT135" s="6" t="n"/>
      <c r="CU135" s="6" t="n"/>
      <c r="CV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n"/>
      <c r="BI136" s="6" t="n"/>
      <c r="BJ136" s="6" t="n"/>
      <c r="BK136" s="6" t="n"/>
      <c r="BL136" s="6" t="n"/>
      <c r="BM136" s="6" t="n"/>
      <c r="BN136" s="6" t="n"/>
      <c r="BO136" s="6" t="n"/>
      <c r="BP136" s="6" t="n"/>
      <c r="BQ136" s="6" t="n"/>
      <c r="BR136" s="6" t="n"/>
      <c r="BS136" s="6" t="n"/>
      <c r="BT136" s="6" t="n"/>
      <c r="BU136" s="6" t="n"/>
      <c r="BV136" s="6" t="n"/>
      <c r="BW136" s="6" t="n"/>
      <c r="BX136" s="6" t="n"/>
      <c r="BY136" s="6" t="n"/>
      <c r="BZ136" s="6" t="n"/>
      <c r="CA136" s="6" t="n"/>
      <c r="CB136" s="6" t="n"/>
      <c r="CC136" s="6" t="n"/>
      <c r="CD136" s="6" t="n"/>
      <c r="CE136" s="6" t="n"/>
      <c r="CF136" s="6" t="n"/>
      <c r="CG136" s="6" t="n"/>
      <c r="CH136" s="6" t="n"/>
      <c r="CI136" s="6" t="n"/>
      <c r="CJ136" s="6" t="n"/>
      <c r="CK136" s="6" t="n"/>
      <c r="CL136" s="6" t="n"/>
      <c r="CM136" s="6" t="n"/>
      <c r="CN136" s="6" t="n"/>
      <c r="CO136" s="6" t="n"/>
      <c r="CP136" s="6" t="n"/>
      <c r="CQ136" s="6" t="n"/>
      <c r="CR136" s="6" t="n"/>
      <c r="CS136" s="6" t="n"/>
      <c r="CT136" s="6" t="n"/>
      <c r="CU136" s="6" t="n"/>
      <c r="CV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n"/>
      <c r="BI137" s="6" t="n"/>
      <c r="BJ137" s="6" t="n"/>
      <c r="BK137" s="6" t="n"/>
      <c r="BL137" s="6" t="n"/>
      <c r="BM137" s="6" t="n"/>
      <c r="BN137" s="6" t="n"/>
      <c r="BO137" s="6" t="n"/>
      <c r="BP137" s="6" t="n"/>
      <c r="BQ137" s="6" t="n"/>
      <c r="BR137" s="6" t="n"/>
      <c r="BS137" s="6" t="n"/>
      <c r="BT137" s="6" t="n"/>
      <c r="BU137" s="6" t="n"/>
      <c r="BV137" s="6" t="n"/>
      <c r="BW137" s="6" t="n"/>
      <c r="BX137" s="6" t="n"/>
      <c r="BY137" s="6" t="n"/>
      <c r="BZ137" s="6" t="n"/>
      <c r="CA137" s="6" t="n"/>
      <c r="CB137" s="6" t="n"/>
      <c r="CC137" s="6" t="n"/>
      <c r="CD137" s="6" t="n"/>
      <c r="CE137" s="6" t="n"/>
      <c r="CF137" s="6" t="n"/>
      <c r="CG137" s="6" t="n"/>
      <c r="CH137" s="6" t="n"/>
      <c r="CI137" s="6" t="n"/>
      <c r="CJ137" s="6" t="n"/>
      <c r="CK137" s="6" t="n"/>
      <c r="CL137" s="6" t="n"/>
      <c r="CM137" s="6" t="n"/>
      <c r="CN137" s="6" t="n"/>
      <c r="CO137" s="6" t="n"/>
      <c r="CP137" s="6" t="n"/>
      <c r="CQ137" s="6" t="n"/>
      <c r="CR137" s="6" t="n"/>
      <c r="CS137" s="6" t="n"/>
      <c r="CT137" s="6" t="n"/>
      <c r="CU137" s="6" t="n"/>
      <c r="CV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n"/>
      <c r="BI138" s="6" t="n"/>
      <c r="BJ138" s="6" t="n"/>
      <c r="BK138" s="6" t="n"/>
      <c r="BL138" s="6" t="n"/>
      <c r="BM138" s="6" t="n"/>
      <c r="BN138" s="6" t="n"/>
      <c r="BO138" s="6" t="n"/>
      <c r="BP138" s="6" t="n"/>
      <c r="BQ138" s="6" t="n"/>
      <c r="BR138" s="6" t="n"/>
      <c r="BS138" s="6" t="n"/>
      <c r="BT138" s="6" t="n"/>
      <c r="BU138" s="6" t="n"/>
      <c r="BV138" s="6" t="n"/>
      <c r="BW138" s="6" t="n"/>
      <c r="BX138" s="6" t="n"/>
      <c r="BY138" s="6" t="n"/>
      <c r="BZ138" s="6" t="n"/>
      <c r="CA138" s="6" t="n"/>
      <c r="CB138" s="6" t="n"/>
      <c r="CC138" s="6" t="n"/>
      <c r="CD138" s="6" t="n"/>
      <c r="CE138" s="6" t="n"/>
      <c r="CF138" s="6" t="n"/>
      <c r="CG138" s="6" t="n"/>
      <c r="CH138" s="6" t="n"/>
      <c r="CI138" s="6" t="n"/>
      <c r="CJ138" s="6" t="n"/>
      <c r="CK138" s="6" t="n"/>
      <c r="CL138" s="6" t="n"/>
      <c r="CM138" s="6" t="n"/>
      <c r="CN138" s="6" t="n"/>
      <c r="CO138" s="6" t="n"/>
      <c r="CP138" s="6" t="n"/>
      <c r="CQ138" s="6" t="n"/>
      <c r="CR138" s="6" t="n"/>
      <c r="CS138" s="6" t="n"/>
      <c r="CT138" s="6" t="n"/>
      <c r="CU138" s="6" t="n"/>
      <c r="CV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n"/>
      <c r="BI139" s="6" t="n"/>
      <c r="BJ139" s="6" t="n"/>
      <c r="BK139" s="6" t="n"/>
      <c r="BL139" s="6" t="n"/>
      <c r="BM139" s="6" t="n"/>
      <c r="BN139" s="6" t="n"/>
      <c r="BO139" s="6" t="n"/>
      <c r="BP139" s="6" t="n"/>
      <c r="BQ139" s="6" t="n"/>
      <c r="BR139" s="6" t="n"/>
      <c r="BS139" s="6" t="n"/>
      <c r="BT139" s="6" t="n"/>
      <c r="BU139" s="6" t="n"/>
      <c r="BV139" s="6" t="n"/>
      <c r="BW139" s="6" t="n"/>
      <c r="BX139" s="6" t="n"/>
      <c r="BY139" s="6" t="n"/>
      <c r="BZ139" s="6" t="n"/>
      <c r="CA139" s="6" t="n"/>
      <c r="CB139" s="6" t="n"/>
      <c r="CC139" s="6" t="n"/>
      <c r="CD139" s="6" t="n"/>
      <c r="CE139" s="6" t="n"/>
      <c r="CF139" s="6" t="n"/>
      <c r="CG139" s="6" t="n"/>
      <c r="CH139" s="6" t="n"/>
      <c r="CI139" s="6" t="n"/>
      <c r="CJ139" s="6" t="n"/>
      <c r="CK139" s="6" t="n"/>
      <c r="CL139" s="6" t="n"/>
      <c r="CM139" s="6" t="n"/>
      <c r="CN139" s="6" t="n"/>
      <c r="CO139" s="6" t="n"/>
      <c r="CP139" s="6" t="n"/>
      <c r="CQ139" s="6" t="n"/>
      <c r="CR139" s="6" t="n"/>
      <c r="CS139" s="6" t="n"/>
      <c r="CT139" s="6" t="n"/>
      <c r="CU139" s="6" t="n"/>
      <c r="CV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n"/>
      <c r="BI140" s="6" t="n"/>
      <c r="BJ140" s="6" t="n"/>
      <c r="BK140" s="6" t="n"/>
      <c r="BL140" s="6" t="n"/>
      <c r="BM140" s="6" t="n"/>
      <c r="BN140" s="6" t="n"/>
      <c r="BO140" s="6" t="n"/>
      <c r="BP140" s="6" t="n"/>
      <c r="BQ140" s="6" t="n"/>
      <c r="BR140" s="6" t="n"/>
      <c r="BS140" s="6" t="n"/>
      <c r="BT140" s="6" t="n"/>
      <c r="BU140" s="6" t="n"/>
      <c r="BV140" s="6" t="n"/>
      <c r="BW140" s="6" t="n"/>
      <c r="BX140" s="6" t="n"/>
      <c r="BY140" s="6" t="n"/>
      <c r="BZ140" s="6" t="n"/>
      <c r="CA140" s="6" t="n"/>
      <c r="CB140" s="6" t="n"/>
      <c r="CC140" s="6" t="n"/>
      <c r="CD140" s="6" t="n"/>
      <c r="CE140" s="6" t="n"/>
      <c r="CF140" s="6" t="n"/>
      <c r="CG140" s="6" t="n"/>
      <c r="CH140" s="6" t="n"/>
      <c r="CI140" s="6" t="n"/>
      <c r="CJ140" s="6" t="n"/>
      <c r="CK140" s="6" t="n"/>
      <c r="CL140" s="6" t="n"/>
      <c r="CM140" s="6" t="n"/>
      <c r="CN140" s="6" t="n"/>
      <c r="CO140" s="6" t="n"/>
      <c r="CP140" s="6" t="n"/>
      <c r="CQ140" s="6" t="n"/>
      <c r="CR140" s="6" t="n"/>
      <c r="CS140" s="6" t="n"/>
      <c r="CT140" s="6" t="n"/>
      <c r="CU140" s="6" t="n"/>
      <c r="CV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n"/>
      <c r="BI141" s="6" t="n"/>
      <c r="BJ141" s="6" t="n"/>
      <c r="BK141" s="6" t="n"/>
      <c r="BL141" s="6" t="n"/>
      <c r="BM141" s="6" t="n"/>
      <c r="BN141" s="6" t="n"/>
      <c r="BO141" s="6" t="n"/>
      <c r="BP141" s="6" t="n"/>
      <c r="BQ141" s="6" t="n"/>
      <c r="BR141" s="6" t="n"/>
      <c r="BS141" s="6" t="n"/>
      <c r="BT141" s="6" t="n"/>
      <c r="BU141" s="6" t="n"/>
      <c r="BV141" s="6" t="n"/>
      <c r="BW141" s="6" t="n"/>
      <c r="BX141" s="6" t="n"/>
      <c r="BY141" s="6" t="n"/>
      <c r="BZ141" s="6" t="n"/>
      <c r="CA141" s="6" t="n"/>
      <c r="CB141" s="6" t="n"/>
      <c r="CC141" s="6" t="n"/>
      <c r="CD141" s="6" t="n"/>
      <c r="CE141" s="6" t="n"/>
      <c r="CF141" s="6" t="n"/>
      <c r="CG141" s="6" t="n"/>
      <c r="CH141" s="6" t="n"/>
      <c r="CI141" s="6" t="n"/>
      <c r="CJ141" s="6" t="n"/>
      <c r="CK141" s="6" t="n"/>
      <c r="CL141" s="6" t="n"/>
      <c r="CM141" s="6" t="n"/>
      <c r="CN141" s="6" t="n"/>
      <c r="CO141" s="6" t="n"/>
      <c r="CP141" s="6" t="n"/>
      <c r="CQ141" s="6" t="n"/>
      <c r="CR141" s="6" t="n"/>
      <c r="CS141" s="6" t="n"/>
      <c r="CT141" s="6" t="n"/>
      <c r="CU141" s="6" t="n"/>
      <c r="CV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n"/>
      <c r="BI142" s="6" t="n"/>
      <c r="BJ142" s="6" t="n"/>
      <c r="BK142" s="6" t="n"/>
      <c r="BL142" s="6" t="n"/>
      <c r="BM142" s="6" t="n"/>
      <c r="BN142" s="6" t="n"/>
      <c r="BO142" s="6" t="n"/>
      <c r="BP142" s="6" t="n"/>
      <c r="BQ142" s="6" t="n"/>
      <c r="BR142" s="6" t="n"/>
      <c r="BS142" s="6" t="n"/>
      <c r="BT142" s="6" t="n"/>
      <c r="BU142" s="6" t="n"/>
      <c r="BV142" s="6" t="n"/>
      <c r="BW142" s="6" t="n"/>
      <c r="BX142" s="6" t="n"/>
      <c r="BY142" s="6" t="n"/>
      <c r="BZ142" s="6" t="n"/>
      <c r="CA142" s="6" t="n"/>
      <c r="CB142" s="6" t="n"/>
      <c r="CC142" s="6" t="n"/>
      <c r="CD142" s="6" t="n"/>
      <c r="CE142" s="6" t="n"/>
      <c r="CF142" s="6" t="n"/>
      <c r="CG142" s="6" t="n"/>
      <c r="CH142" s="6" t="n"/>
      <c r="CI142" s="6" t="n"/>
      <c r="CJ142" s="6" t="n"/>
      <c r="CK142" s="6" t="n"/>
      <c r="CL142" s="6" t="n"/>
      <c r="CM142" s="6" t="n"/>
      <c r="CN142" s="6" t="n"/>
      <c r="CO142" s="6" t="n"/>
      <c r="CP142" s="6" t="n"/>
      <c r="CQ142" s="6" t="n"/>
      <c r="CR142" s="6" t="n"/>
      <c r="CS142" s="6" t="n"/>
      <c r="CT142" s="6" t="n"/>
      <c r="CU142" s="6" t="n"/>
      <c r="CV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n"/>
      <c r="BI143" s="6" t="n"/>
      <c r="BJ143" s="6" t="n"/>
      <c r="BK143" s="6" t="n"/>
      <c r="BL143" s="6" t="n"/>
      <c r="BM143" s="6" t="n"/>
      <c r="BN143" s="6" t="n"/>
      <c r="BO143" s="6" t="n"/>
      <c r="BP143" s="6" t="n"/>
      <c r="BQ143" s="6" t="n"/>
      <c r="BR143" s="6" t="n"/>
      <c r="BS143" s="6" t="n"/>
      <c r="BT143" s="6" t="n"/>
      <c r="BU143" s="6" t="n"/>
      <c r="BV143" s="6" t="n"/>
      <c r="BW143" s="6" t="n"/>
      <c r="BX143" s="6" t="n"/>
      <c r="BY143" s="6" t="n"/>
      <c r="BZ143" s="6" t="n"/>
      <c r="CA143" s="6" t="n"/>
      <c r="CB143" s="6" t="n"/>
      <c r="CC143" s="6" t="n"/>
      <c r="CD143" s="6" t="n"/>
      <c r="CE143" s="6" t="n"/>
      <c r="CF143" s="6" t="n"/>
      <c r="CG143" s="6" t="n"/>
      <c r="CH143" s="6" t="n"/>
      <c r="CI143" s="6" t="n"/>
      <c r="CJ143" s="6" t="n"/>
      <c r="CK143" s="6" t="n"/>
      <c r="CL143" s="6" t="n"/>
      <c r="CM143" s="6" t="n"/>
      <c r="CN143" s="6" t="n"/>
      <c r="CO143" s="6" t="n"/>
      <c r="CP143" s="6" t="n"/>
      <c r="CQ143" s="6" t="n"/>
      <c r="CR143" s="6" t="n"/>
      <c r="CS143" s="6" t="n"/>
      <c r="CT143" s="6" t="n"/>
      <c r="CU143" s="6" t="n"/>
      <c r="CV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n"/>
      <c r="AG144" s="6" t="n"/>
      <c r="AH144" s="6" t="n"/>
      <c r="AI144" s="6" t="n"/>
      <c r="AJ144" s="6" t="n"/>
      <c r="AK144" s="6" t="n"/>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n"/>
      <c r="BI144" s="6" t="n"/>
      <c r="BJ144" s="6" t="n"/>
      <c r="BK144" s="6" t="n"/>
      <c r="BL144" s="6" t="n"/>
      <c r="BM144" s="6" t="n"/>
      <c r="BN144" s="6" t="n"/>
      <c r="BO144" s="6" t="n"/>
      <c r="BP144" s="6" t="n"/>
      <c r="BQ144" s="6" t="n"/>
      <c r="BR144" s="6" t="n"/>
      <c r="BS144" s="6" t="n"/>
      <c r="BT144" s="6" t="n"/>
      <c r="BU144" s="6" t="n"/>
      <c r="BV144" s="6" t="n"/>
      <c r="BW144" s="6" t="n"/>
      <c r="BX144" s="6" t="n"/>
      <c r="BY144" s="6" t="n"/>
      <c r="BZ144" s="6" t="n"/>
      <c r="CA144" s="6" t="n"/>
      <c r="CB144" s="6" t="n"/>
      <c r="CC144" s="6" t="n"/>
      <c r="CD144" s="6" t="n"/>
      <c r="CE144" s="6" t="n"/>
      <c r="CF144" s="6" t="n"/>
      <c r="CG144" s="6" t="n"/>
      <c r="CH144" s="6" t="n"/>
      <c r="CI144" s="6" t="n"/>
      <c r="CJ144" s="6" t="n"/>
      <c r="CK144" s="6" t="n"/>
      <c r="CL144" s="6" t="n"/>
      <c r="CM144" s="6" t="n"/>
      <c r="CN144" s="6" t="n"/>
      <c r="CO144" s="6" t="n"/>
      <c r="CP144" s="6" t="n"/>
      <c r="CQ144" s="6" t="n"/>
      <c r="CR144" s="6" t="n"/>
      <c r="CS144" s="6" t="n"/>
      <c r="CT144" s="6" t="n"/>
      <c r="CU144" s="6" t="n"/>
      <c r="CV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n"/>
      <c r="BI145" s="6" t="n"/>
      <c r="BJ145" s="6" t="n"/>
      <c r="BK145" s="6" t="n"/>
      <c r="BL145" s="6" t="n"/>
      <c r="BM145" s="6" t="n"/>
      <c r="BN145" s="6" t="n"/>
      <c r="BO145" s="6" t="n"/>
      <c r="BP145" s="6" t="n"/>
      <c r="BQ145" s="6" t="n"/>
      <c r="BR145" s="6" t="n"/>
      <c r="BS145" s="6" t="n"/>
      <c r="BT145" s="6" t="n"/>
      <c r="BU145" s="6" t="n"/>
      <c r="BV145" s="6" t="n"/>
      <c r="BW145" s="6" t="n"/>
      <c r="BX145" s="6" t="n"/>
      <c r="BY145" s="6" t="n"/>
      <c r="BZ145" s="6" t="n"/>
      <c r="CA145" s="6" t="n"/>
      <c r="CB145" s="6" t="n"/>
      <c r="CC145" s="6" t="n"/>
      <c r="CD145" s="6" t="n"/>
      <c r="CE145" s="6" t="n"/>
      <c r="CF145" s="6" t="n"/>
      <c r="CG145" s="6" t="n"/>
      <c r="CH145" s="6" t="n"/>
      <c r="CI145" s="6" t="n"/>
      <c r="CJ145" s="6" t="n"/>
      <c r="CK145" s="6" t="n"/>
      <c r="CL145" s="6" t="n"/>
      <c r="CM145" s="6" t="n"/>
      <c r="CN145" s="6" t="n"/>
      <c r="CO145" s="6" t="n"/>
      <c r="CP145" s="6" t="n"/>
      <c r="CQ145" s="6" t="n"/>
      <c r="CR145" s="6" t="n"/>
      <c r="CS145" s="6" t="n"/>
      <c r="CT145" s="6" t="n"/>
      <c r="CU145" s="6" t="n"/>
      <c r="CV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n"/>
      <c r="BI146" s="6" t="n"/>
      <c r="BJ146" s="6" t="n"/>
      <c r="BK146" s="6" t="n"/>
      <c r="BL146" s="6" t="n"/>
      <c r="BM146" s="6" t="n"/>
      <c r="BN146" s="6" t="n"/>
      <c r="BO146" s="6" t="n"/>
      <c r="BP146" s="6" t="n"/>
      <c r="BQ146" s="6" t="n"/>
      <c r="BR146" s="6" t="n"/>
      <c r="BS146" s="6" t="n"/>
      <c r="BT146" s="6" t="n"/>
      <c r="BU146" s="6" t="n"/>
      <c r="BV146" s="6" t="n"/>
      <c r="BW146" s="6" t="n"/>
      <c r="BX146" s="6" t="n"/>
      <c r="BY146" s="6" t="n"/>
      <c r="BZ146" s="6" t="n"/>
      <c r="CA146" s="6" t="n"/>
      <c r="CB146" s="6" t="n"/>
      <c r="CC146" s="6" t="n"/>
      <c r="CD146" s="6" t="n"/>
      <c r="CE146" s="6" t="n"/>
      <c r="CF146" s="6" t="n"/>
      <c r="CG146" s="6" t="n"/>
      <c r="CH146" s="6" t="n"/>
      <c r="CI146" s="6" t="n"/>
      <c r="CJ146" s="6" t="n"/>
      <c r="CK146" s="6" t="n"/>
      <c r="CL146" s="6" t="n"/>
      <c r="CM146" s="6" t="n"/>
      <c r="CN146" s="6" t="n"/>
      <c r="CO146" s="6" t="n"/>
      <c r="CP146" s="6" t="n"/>
      <c r="CQ146" s="6" t="n"/>
      <c r="CR146" s="6" t="n"/>
      <c r="CS146" s="6" t="n"/>
      <c r="CT146" s="6" t="n"/>
      <c r="CU146" s="6" t="n"/>
      <c r="CV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n"/>
      <c r="BI147" s="6" t="n"/>
      <c r="BJ147" s="6" t="n"/>
      <c r="BK147" s="6" t="n"/>
      <c r="BL147" s="6" t="n"/>
      <c r="BM147" s="6" t="n"/>
      <c r="BN147" s="6" t="n"/>
      <c r="BO147" s="6" t="n"/>
      <c r="BP147" s="6" t="n"/>
      <c r="BQ147" s="6" t="n"/>
      <c r="BR147" s="6" t="n"/>
      <c r="BS147" s="6" t="n"/>
      <c r="BT147" s="6" t="n"/>
      <c r="BU147" s="6" t="n"/>
      <c r="BV147" s="6" t="n"/>
      <c r="BW147" s="6" t="n"/>
      <c r="BX147" s="6" t="n"/>
      <c r="BY147" s="6" t="n"/>
      <c r="BZ147" s="6" t="n"/>
      <c r="CA147" s="6" t="n"/>
      <c r="CB147" s="6" t="n"/>
      <c r="CC147" s="6" t="n"/>
      <c r="CD147" s="6" t="n"/>
      <c r="CE147" s="6" t="n"/>
      <c r="CF147" s="6" t="n"/>
      <c r="CG147" s="6" t="n"/>
      <c r="CH147" s="6" t="n"/>
      <c r="CI147" s="6" t="n"/>
      <c r="CJ147" s="6" t="n"/>
      <c r="CK147" s="6" t="n"/>
      <c r="CL147" s="6" t="n"/>
      <c r="CM147" s="6" t="n"/>
      <c r="CN147" s="6" t="n"/>
      <c r="CO147" s="6" t="n"/>
      <c r="CP147" s="6" t="n"/>
      <c r="CQ147" s="6" t="n"/>
      <c r="CR147" s="6" t="n"/>
      <c r="CS147" s="6" t="n"/>
      <c r="CT147" s="6" t="n"/>
      <c r="CU147" s="6" t="n"/>
      <c r="CV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n"/>
      <c r="BI148" s="6" t="n"/>
      <c r="BJ148" s="6" t="n"/>
      <c r="BK148" s="6" t="n"/>
      <c r="BL148" s="6" t="n"/>
      <c r="BM148" s="6" t="n"/>
      <c r="BN148" s="6" t="n"/>
      <c r="BO148" s="6" t="n"/>
      <c r="BP148" s="6" t="n"/>
      <c r="BQ148" s="6" t="n"/>
      <c r="BR148" s="6" t="n"/>
      <c r="BS148" s="6" t="n"/>
      <c r="BT148" s="6" t="n"/>
      <c r="BU148" s="6" t="n"/>
      <c r="BV148" s="6" t="n"/>
      <c r="BW148" s="6" t="n"/>
      <c r="BX148" s="6" t="n"/>
      <c r="BY148" s="6" t="n"/>
      <c r="BZ148" s="6" t="n"/>
      <c r="CA148" s="6" t="n"/>
      <c r="CB148" s="6" t="n"/>
      <c r="CC148" s="6" t="n"/>
      <c r="CD148" s="6" t="n"/>
      <c r="CE148" s="6" t="n"/>
      <c r="CF148" s="6" t="n"/>
      <c r="CG148" s="6" t="n"/>
      <c r="CH148" s="6" t="n"/>
      <c r="CI148" s="6" t="n"/>
      <c r="CJ148" s="6" t="n"/>
      <c r="CK148" s="6" t="n"/>
      <c r="CL148" s="6" t="n"/>
      <c r="CM148" s="6" t="n"/>
      <c r="CN148" s="6" t="n"/>
      <c r="CO148" s="6" t="n"/>
      <c r="CP148" s="6" t="n"/>
      <c r="CQ148" s="6" t="n"/>
      <c r="CR148" s="6" t="n"/>
      <c r="CS148" s="6" t="n"/>
      <c r="CT148" s="6" t="n"/>
      <c r="CU148" s="6" t="n"/>
      <c r="CV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n"/>
      <c r="BI149" s="6" t="n"/>
      <c r="BJ149" s="6" t="n"/>
      <c r="BK149" s="6" t="n"/>
      <c r="BL149" s="6" t="n"/>
      <c r="BM149" s="6" t="n"/>
      <c r="BN149" s="6" t="n"/>
      <c r="BO149" s="6" t="n"/>
      <c r="BP149" s="6" t="n"/>
      <c r="BQ149" s="6" t="n"/>
      <c r="BR149" s="6" t="n"/>
      <c r="BS149" s="6" t="n"/>
      <c r="BT149" s="6" t="n"/>
      <c r="BU149" s="6" t="n"/>
      <c r="BV149" s="6" t="n"/>
      <c r="BW149" s="6" t="n"/>
      <c r="BX149" s="6" t="n"/>
      <c r="BY149" s="6" t="n"/>
      <c r="BZ149" s="6" t="n"/>
      <c r="CA149" s="6" t="n"/>
      <c r="CB149" s="6" t="n"/>
      <c r="CC149" s="6" t="n"/>
      <c r="CD149" s="6" t="n"/>
      <c r="CE149" s="6" t="n"/>
      <c r="CF149" s="6" t="n"/>
      <c r="CG149" s="6" t="n"/>
      <c r="CH149" s="6" t="n"/>
      <c r="CI149" s="6" t="n"/>
      <c r="CJ149" s="6" t="n"/>
      <c r="CK149" s="6" t="n"/>
      <c r="CL149" s="6" t="n"/>
      <c r="CM149" s="6" t="n"/>
      <c r="CN149" s="6" t="n"/>
      <c r="CO149" s="6" t="n"/>
      <c r="CP149" s="6" t="n"/>
      <c r="CQ149" s="6" t="n"/>
      <c r="CR149" s="6" t="n"/>
      <c r="CS149" s="6" t="n"/>
      <c r="CT149" s="6" t="n"/>
      <c r="CU149" s="6" t="n"/>
      <c r="CV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n"/>
      <c r="BI150" s="6" t="n"/>
      <c r="BJ150" s="6" t="n"/>
      <c r="BK150" s="6" t="n"/>
      <c r="BL150" s="6" t="n"/>
      <c r="BM150" s="6" t="n"/>
      <c r="BN150" s="6" t="n"/>
      <c r="BO150" s="6" t="n"/>
      <c r="BP150" s="6" t="n"/>
      <c r="BQ150" s="6" t="n"/>
      <c r="BR150" s="6" t="n"/>
      <c r="BS150" s="6" t="n"/>
      <c r="BT150" s="6" t="n"/>
      <c r="BU150" s="6" t="n"/>
      <c r="BV150" s="6" t="n"/>
      <c r="BW150" s="6" t="n"/>
      <c r="BX150" s="6" t="n"/>
      <c r="BY150" s="6" t="n"/>
      <c r="BZ150" s="6" t="n"/>
      <c r="CA150" s="6" t="n"/>
      <c r="CB150" s="6" t="n"/>
      <c r="CC150" s="6" t="n"/>
      <c r="CD150" s="6" t="n"/>
      <c r="CE150" s="6" t="n"/>
      <c r="CF150" s="6" t="n"/>
      <c r="CG150" s="6" t="n"/>
      <c r="CH150" s="6" t="n"/>
      <c r="CI150" s="6" t="n"/>
      <c r="CJ150" s="6" t="n"/>
      <c r="CK150" s="6" t="n"/>
      <c r="CL150" s="6" t="n"/>
      <c r="CM150" s="6" t="n"/>
      <c r="CN150" s="6" t="n"/>
      <c r="CO150" s="6" t="n"/>
      <c r="CP150" s="6" t="n"/>
      <c r="CQ150" s="6" t="n"/>
      <c r="CR150" s="6" t="n"/>
      <c r="CS150" s="6" t="n"/>
      <c r="CT150" s="6" t="n"/>
      <c r="CU150" s="6" t="n"/>
      <c r="CV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n"/>
      <c r="BI151" s="6" t="n"/>
      <c r="BJ151" s="6" t="n"/>
      <c r="BK151" s="6" t="n"/>
      <c r="BL151" s="6" t="n"/>
      <c r="BM151" s="6" t="n"/>
      <c r="BN151" s="6" t="n"/>
      <c r="BO151" s="6" t="n"/>
      <c r="BP151" s="6" t="n"/>
      <c r="BQ151" s="6" t="n"/>
      <c r="BR151" s="6" t="n"/>
      <c r="BS151" s="6" t="n"/>
      <c r="BT151" s="6" t="n"/>
      <c r="BU151" s="6" t="n"/>
      <c r="BV151" s="6" t="n"/>
      <c r="BW151" s="6" t="n"/>
      <c r="BX151" s="6" t="n"/>
      <c r="BY151" s="6" t="n"/>
      <c r="BZ151" s="6" t="n"/>
      <c r="CA151" s="6" t="n"/>
      <c r="CB151" s="6" t="n"/>
      <c r="CC151" s="6" t="n"/>
      <c r="CD151" s="6" t="n"/>
      <c r="CE151" s="6" t="n"/>
      <c r="CF151" s="6" t="n"/>
      <c r="CG151" s="6" t="n"/>
      <c r="CH151" s="6" t="n"/>
      <c r="CI151" s="6" t="n"/>
      <c r="CJ151" s="6" t="n"/>
      <c r="CK151" s="6" t="n"/>
      <c r="CL151" s="6" t="n"/>
      <c r="CM151" s="6" t="n"/>
      <c r="CN151" s="6" t="n"/>
      <c r="CO151" s="6" t="n"/>
      <c r="CP151" s="6" t="n"/>
      <c r="CQ151" s="6" t="n"/>
      <c r="CR151" s="6" t="n"/>
      <c r="CS151" s="6" t="n"/>
      <c r="CT151" s="6" t="n"/>
      <c r="CU151" s="6" t="n"/>
      <c r="CV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n"/>
      <c r="BI152" s="6" t="n"/>
      <c r="BJ152" s="6" t="n"/>
      <c r="BK152" s="6" t="n"/>
      <c r="BL152" s="6" t="n"/>
      <c r="BM152" s="6" t="n"/>
      <c r="BN152" s="6" t="n"/>
      <c r="BO152" s="6" t="n"/>
      <c r="BP152" s="6" t="n"/>
      <c r="BQ152" s="6" t="n"/>
      <c r="BR152" s="6" t="n"/>
      <c r="BS152" s="6" t="n"/>
      <c r="BT152" s="6" t="n"/>
      <c r="BU152" s="6" t="n"/>
      <c r="BV152" s="6" t="n"/>
      <c r="BW152" s="6" t="n"/>
      <c r="BX152" s="6" t="n"/>
      <c r="BY152" s="6" t="n"/>
      <c r="BZ152" s="6" t="n"/>
      <c r="CA152" s="6" t="n"/>
      <c r="CB152" s="6" t="n"/>
      <c r="CC152" s="6" t="n"/>
      <c r="CD152" s="6" t="n"/>
      <c r="CE152" s="6" t="n"/>
      <c r="CF152" s="6" t="n"/>
      <c r="CG152" s="6" t="n"/>
      <c r="CH152" s="6" t="n"/>
      <c r="CI152" s="6" t="n"/>
      <c r="CJ152" s="6" t="n"/>
      <c r="CK152" s="6" t="n"/>
      <c r="CL152" s="6" t="n"/>
      <c r="CM152" s="6" t="n"/>
      <c r="CN152" s="6" t="n"/>
      <c r="CO152" s="6" t="n"/>
      <c r="CP152" s="6" t="n"/>
      <c r="CQ152" s="6" t="n"/>
      <c r="CR152" s="6" t="n"/>
      <c r="CS152" s="6" t="n"/>
      <c r="CT152" s="6" t="n"/>
      <c r="CU152" s="6" t="n"/>
      <c r="CV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n"/>
      <c r="BI153" s="6" t="n"/>
      <c r="BJ153" s="6" t="n"/>
      <c r="BK153" s="6" t="n"/>
      <c r="BL153" s="6" t="n"/>
      <c r="BM153" s="6" t="n"/>
      <c r="BN153" s="6" t="n"/>
      <c r="BO153" s="6" t="n"/>
      <c r="BP153" s="6" t="n"/>
      <c r="BQ153" s="6" t="n"/>
      <c r="BR153" s="6" t="n"/>
      <c r="BS153" s="6" t="n"/>
      <c r="BT153" s="6" t="n"/>
      <c r="BU153" s="6" t="n"/>
      <c r="BV153" s="6" t="n"/>
      <c r="BW153" s="6" t="n"/>
      <c r="BX153" s="6" t="n"/>
      <c r="BY153" s="6" t="n"/>
      <c r="BZ153" s="6" t="n"/>
      <c r="CA153" s="6" t="n"/>
      <c r="CB153" s="6" t="n"/>
      <c r="CC153" s="6" t="n"/>
      <c r="CD153" s="6" t="n"/>
      <c r="CE153" s="6" t="n"/>
      <c r="CF153" s="6" t="n"/>
      <c r="CG153" s="6" t="n"/>
      <c r="CH153" s="6" t="n"/>
      <c r="CI153" s="6" t="n"/>
      <c r="CJ153" s="6" t="n"/>
      <c r="CK153" s="6" t="n"/>
      <c r="CL153" s="6" t="n"/>
      <c r="CM153" s="6" t="n"/>
      <c r="CN153" s="6" t="n"/>
      <c r="CO153" s="6" t="n"/>
      <c r="CP153" s="6" t="n"/>
      <c r="CQ153" s="6" t="n"/>
      <c r="CR153" s="6" t="n"/>
      <c r="CS153" s="6" t="n"/>
      <c r="CT153" s="6" t="n"/>
      <c r="CU153" s="6" t="n"/>
      <c r="CV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n"/>
      <c r="BI154" s="6" t="n"/>
      <c r="BJ154" s="6" t="n"/>
      <c r="BK154" s="6" t="n"/>
      <c r="BL154" s="6" t="n"/>
      <c r="BM154" s="6" t="n"/>
      <c r="BN154" s="6" t="n"/>
      <c r="BO154" s="6" t="n"/>
      <c r="BP154" s="6" t="n"/>
      <c r="BQ154" s="6" t="n"/>
      <c r="BR154" s="6" t="n"/>
      <c r="BS154" s="6" t="n"/>
      <c r="BT154" s="6" t="n"/>
      <c r="BU154" s="6" t="n"/>
      <c r="BV154" s="6" t="n"/>
      <c r="BW154" s="6" t="n"/>
      <c r="BX154" s="6" t="n"/>
      <c r="BY154" s="6" t="n"/>
      <c r="BZ154" s="6" t="n"/>
      <c r="CA154" s="6" t="n"/>
      <c r="CB154" s="6" t="n"/>
      <c r="CC154" s="6" t="n"/>
      <c r="CD154" s="6" t="n"/>
      <c r="CE154" s="6" t="n"/>
      <c r="CF154" s="6" t="n"/>
      <c r="CG154" s="6" t="n"/>
      <c r="CH154" s="6" t="n"/>
      <c r="CI154" s="6" t="n"/>
      <c r="CJ154" s="6" t="n"/>
      <c r="CK154" s="6" t="n"/>
      <c r="CL154" s="6" t="n"/>
      <c r="CM154" s="6" t="n"/>
      <c r="CN154" s="6" t="n"/>
      <c r="CO154" s="6" t="n"/>
      <c r="CP154" s="6" t="n"/>
      <c r="CQ154" s="6" t="n"/>
      <c r="CR154" s="6" t="n"/>
      <c r="CS154" s="6" t="n"/>
      <c r="CT154" s="6" t="n"/>
      <c r="CU154" s="6" t="n"/>
      <c r="CV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n"/>
      <c r="BI155" s="6" t="n"/>
      <c r="BJ155" s="6" t="n"/>
      <c r="BK155" s="6" t="n"/>
      <c r="BL155" s="6" t="n"/>
      <c r="BM155" s="6" t="n"/>
      <c r="BN155" s="6" t="n"/>
      <c r="BO155" s="6" t="n"/>
      <c r="BP155" s="6" t="n"/>
      <c r="BQ155" s="6" t="n"/>
      <c r="BR155" s="6" t="n"/>
      <c r="BS155" s="6" t="n"/>
      <c r="BT155" s="6" t="n"/>
      <c r="BU155" s="6" t="n"/>
      <c r="BV155" s="6" t="n"/>
      <c r="BW155" s="6" t="n"/>
      <c r="BX155" s="6" t="n"/>
      <c r="BY155" s="6" t="n"/>
      <c r="BZ155" s="6" t="n"/>
      <c r="CA155" s="6" t="n"/>
      <c r="CB155" s="6" t="n"/>
      <c r="CC155" s="6" t="n"/>
      <c r="CD155" s="6" t="n"/>
      <c r="CE155" s="6" t="n"/>
      <c r="CF155" s="6" t="n"/>
      <c r="CG155" s="6" t="n"/>
      <c r="CH155" s="6" t="n"/>
      <c r="CI155" s="6" t="n"/>
      <c r="CJ155" s="6" t="n"/>
      <c r="CK155" s="6" t="n"/>
      <c r="CL155" s="6" t="n"/>
      <c r="CM155" s="6" t="n"/>
      <c r="CN155" s="6" t="n"/>
      <c r="CO155" s="6" t="n"/>
      <c r="CP155" s="6" t="n"/>
      <c r="CQ155" s="6" t="n"/>
      <c r="CR155" s="6" t="n"/>
      <c r="CS155" s="6" t="n"/>
      <c r="CT155" s="6" t="n"/>
      <c r="CU155" s="6" t="n"/>
      <c r="CV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n"/>
      <c r="BI156" s="6" t="n"/>
      <c r="BJ156" s="6" t="n"/>
      <c r="BK156" s="6" t="n"/>
      <c r="BL156" s="6" t="n"/>
      <c r="BM156" s="6" t="n"/>
      <c r="BN156" s="6" t="n"/>
      <c r="BO156" s="6" t="n"/>
      <c r="BP156" s="6" t="n"/>
      <c r="BQ156" s="6" t="n"/>
      <c r="BR156" s="6" t="n"/>
      <c r="BS156" s="6" t="n"/>
      <c r="BT156" s="6" t="n"/>
      <c r="BU156" s="6" t="n"/>
      <c r="BV156" s="6" t="n"/>
      <c r="BW156" s="6" t="n"/>
      <c r="BX156" s="6" t="n"/>
      <c r="BY156" s="6" t="n"/>
      <c r="BZ156" s="6" t="n"/>
      <c r="CA156" s="6" t="n"/>
      <c r="CB156" s="6" t="n"/>
      <c r="CC156" s="6" t="n"/>
      <c r="CD156" s="6" t="n"/>
      <c r="CE156" s="6" t="n"/>
      <c r="CF156" s="6" t="n"/>
      <c r="CG156" s="6" t="n"/>
      <c r="CH156" s="6" t="n"/>
      <c r="CI156" s="6" t="n"/>
      <c r="CJ156" s="6" t="n"/>
      <c r="CK156" s="6" t="n"/>
      <c r="CL156" s="6" t="n"/>
      <c r="CM156" s="6" t="n"/>
      <c r="CN156" s="6" t="n"/>
      <c r="CO156" s="6" t="n"/>
      <c r="CP156" s="6" t="n"/>
      <c r="CQ156" s="6" t="n"/>
      <c r="CR156" s="6" t="n"/>
      <c r="CS156" s="6" t="n"/>
      <c r="CT156" s="6" t="n"/>
      <c r="CU156" s="6" t="n"/>
      <c r="CV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n"/>
      <c r="BC157" s="6" t="n"/>
      <c r="BD157" s="6" t="n"/>
      <c r="BE157" s="6" t="n"/>
      <c r="BF157" s="6" t="n"/>
      <c r="BG157" s="6" t="n"/>
      <c r="BH157" s="6" t="n"/>
      <c r="BI157" s="6" t="n"/>
      <c r="BJ157" s="6" t="n"/>
      <c r="BK157" s="6" t="n"/>
      <c r="BL157" s="6" t="n"/>
      <c r="BM157" s="6" t="n"/>
      <c r="BN157" s="6" t="n"/>
      <c r="BO157" s="6" t="n"/>
      <c r="BP157" s="6" t="n"/>
      <c r="BQ157" s="6" t="n"/>
      <c r="BR157" s="6" t="n"/>
      <c r="BS157" s="6" t="n"/>
      <c r="BT157" s="6" t="n"/>
      <c r="BU157" s="6" t="n"/>
      <c r="BV157" s="6" t="n"/>
      <c r="BW157" s="6" t="n"/>
      <c r="BX157" s="6" t="n"/>
      <c r="BY157" s="6" t="n"/>
      <c r="BZ157" s="6" t="n"/>
      <c r="CA157" s="6" t="n"/>
      <c r="CB157" s="6" t="n"/>
      <c r="CC157" s="6" t="n"/>
      <c r="CD157" s="6" t="n"/>
      <c r="CE157" s="6" t="n"/>
      <c r="CF157" s="6" t="n"/>
      <c r="CG157" s="6" t="n"/>
      <c r="CH157" s="6" t="n"/>
      <c r="CI157" s="6" t="n"/>
      <c r="CJ157" s="6" t="n"/>
      <c r="CK157" s="6" t="n"/>
      <c r="CL157" s="6" t="n"/>
      <c r="CM157" s="6" t="n"/>
      <c r="CN157" s="6" t="n"/>
      <c r="CO157" s="6" t="n"/>
      <c r="CP157" s="6" t="n"/>
      <c r="CQ157" s="6" t="n"/>
      <c r="CR157" s="6" t="n"/>
      <c r="CS157" s="6" t="n"/>
      <c r="CT157" s="6" t="n"/>
      <c r="CU157" s="6" t="n"/>
      <c r="CV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n"/>
      <c r="AG158" s="6" t="n"/>
      <c r="AH158" s="6" t="n"/>
      <c r="AI158" s="6" t="n"/>
      <c r="AJ158" s="6" t="n"/>
      <c r="AK158" s="6" t="n"/>
      <c r="AL158" s="6" t="n"/>
      <c r="AM158" s="6" t="n"/>
      <c r="AN158" s="6" t="n"/>
      <c r="AO158" s="6" t="n"/>
      <c r="AP158" s="6" t="n"/>
      <c r="AQ158" s="6" t="n"/>
      <c r="AR158" s="6" t="n"/>
      <c r="AS158" s="6" t="n"/>
      <c r="AT158" s="6" t="n"/>
      <c r="AU158" s="6" t="n"/>
      <c r="AV158" s="6" t="n"/>
      <c r="AW158" s="6" t="n"/>
      <c r="AX158" s="6" t="n"/>
      <c r="AY158" s="6" t="n"/>
      <c r="AZ158" s="6" t="n"/>
      <c r="BA158" s="6" t="n"/>
      <c r="BB158" s="6" t="n"/>
      <c r="BC158" s="6" t="n"/>
      <c r="BD158" s="6" t="n"/>
      <c r="BE158" s="6" t="n"/>
      <c r="BF158" s="6" t="n"/>
      <c r="BG158" s="6" t="n"/>
      <c r="BH158" s="6" t="n"/>
      <c r="BI158" s="6" t="n"/>
      <c r="BJ158" s="6" t="n"/>
      <c r="BK158" s="6" t="n"/>
      <c r="BL158" s="6" t="n"/>
      <c r="BM158" s="6" t="n"/>
      <c r="BN158" s="6" t="n"/>
      <c r="BO158" s="6" t="n"/>
      <c r="BP158" s="6" t="n"/>
      <c r="BQ158" s="6" t="n"/>
      <c r="BR158" s="6" t="n"/>
      <c r="BS158" s="6" t="n"/>
      <c r="BT158" s="6" t="n"/>
      <c r="BU158" s="6" t="n"/>
      <c r="BV158" s="6" t="n"/>
      <c r="BW158" s="6" t="n"/>
      <c r="BX158" s="6" t="n"/>
      <c r="BY158" s="6" t="n"/>
      <c r="BZ158" s="6" t="n"/>
      <c r="CA158" s="6" t="n"/>
      <c r="CB158" s="6" t="n"/>
      <c r="CC158" s="6" t="n"/>
      <c r="CD158" s="6" t="n"/>
      <c r="CE158" s="6" t="n"/>
      <c r="CF158" s="6" t="n"/>
      <c r="CG158" s="6" t="n"/>
      <c r="CH158" s="6" t="n"/>
      <c r="CI158" s="6" t="n"/>
      <c r="CJ158" s="6" t="n"/>
      <c r="CK158" s="6" t="n"/>
      <c r="CL158" s="6" t="n"/>
      <c r="CM158" s="6" t="n"/>
      <c r="CN158" s="6" t="n"/>
      <c r="CO158" s="6" t="n"/>
      <c r="CP158" s="6" t="n"/>
      <c r="CQ158" s="6" t="n"/>
      <c r="CR158" s="6" t="n"/>
      <c r="CS158" s="6" t="n"/>
      <c r="CT158" s="6" t="n"/>
      <c r="CU158" s="6" t="n"/>
      <c r="CV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n"/>
      <c r="BC159" s="6" t="n"/>
      <c r="BD159" s="6" t="n"/>
      <c r="BE159" s="6" t="n"/>
      <c r="BF159" s="6" t="n"/>
      <c r="BG159" s="6" t="n"/>
      <c r="BH159" s="6" t="n"/>
      <c r="BI159" s="6" t="n"/>
      <c r="BJ159" s="6" t="n"/>
      <c r="BK159" s="6" t="n"/>
      <c r="BL159" s="6" t="n"/>
      <c r="BM159" s="6" t="n"/>
      <c r="BN159" s="6" t="n"/>
      <c r="BO159" s="6" t="n"/>
      <c r="BP159" s="6" t="n"/>
      <c r="BQ159" s="6" t="n"/>
      <c r="BR159" s="6" t="n"/>
      <c r="BS159" s="6" t="n"/>
      <c r="BT159" s="6" t="n"/>
      <c r="BU159" s="6" t="n"/>
      <c r="BV159" s="6" t="n"/>
      <c r="BW159" s="6" t="n"/>
      <c r="BX159" s="6" t="n"/>
      <c r="BY159" s="6" t="n"/>
      <c r="BZ159" s="6" t="n"/>
      <c r="CA159" s="6" t="n"/>
      <c r="CB159" s="6" t="n"/>
      <c r="CC159" s="6" t="n"/>
      <c r="CD159" s="6" t="n"/>
      <c r="CE159" s="6" t="n"/>
      <c r="CF159" s="6" t="n"/>
      <c r="CG159" s="6" t="n"/>
      <c r="CH159" s="6" t="n"/>
      <c r="CI159" s="6" t="n"/>
      <c r="CJ159" s="6" t="n"/>
      <c r="CK159" s="6" t="n"/>
      <c r="CL159" s="6" t="n"/>
      <c r="CM159" s="6" t="n"/>
      <c r="CN159" s="6" t="n"/>
      <c r="CO159" s="6" t="n"/>
      <c r="CP159" s="6" t="n"/>
      <c r="CQ159" s="6" t="n"/>
      <c r="CR159" s="6" t="n"/>
      <c r="CS159" s="6" t="n"/>
      <c r="CT159" s="6" t="n"/>
      <c r="CU159" s="6" t="n"/>
      <c r="CV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n"/>
      <c r="AG160" s="6" t="n"/>
      <c r="AH160" s="6" t="n"/>
      <c r="AI160" s="6" t="n"/>
      <c r="AJ160" s="6" t="n"/>
      <c r="AK160" s="6" t="n"/>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n"/>
      <c r="BI160" s="6" t="n"/>
      <c r="BJ160" s="6" t="n"/>
      <c r="BK160" s="6" t="n"/>
      <c r="BL160" s="6" t="n"/>
      <c r="BM160" s="6" t="n"/>
      <c r="BN160" s="6" t="n"/>
      <c r="BO160" s="6" t="n"/>
      <c r="BP160" s="6" t="n"/>
      <c r="BQ160" s="6" t="n"/>
      <c r="BR160" s="6" t="n"/>
      <c r="BS160" s="6" t="n"/>
      <c r="BT160" s="6" t="n"/>
      <c r="BU160" s="6" t="n"/>
      <c r="BV160" s="6" t="n"/>
      <c r="BW160" s="6" t="n"/>
      <c r="BX160" s="6" t="n"/>
      <c r="BY160" s="6" t="n"/>
      <c r="BZ160" s="6" t="n"/>
      <c r="CA160" s="6" t="n"/>
      <c r="CB160" s="6" t="n"/>
      <c r="CC160" s="6" t="n"/>
      <c r="CD160" s="6" t="n"/>
      <c r="CE160" s="6" t="n"/>
      <c r="CF160" s="6" t="n"/>
      <c r="CG160" s="6" t="n"/>
      <c r="CH160" s="6" t="n"/>
      <c r="CI160" s="6" t="n"/>
      <c r="CJ160" s="6" t="n"/>
      <c r="CK160" s="6" t="n"/>
      <c r="CL160" s="6" t="n"/>
      <c r="CM160" s="6" t="n"/>
      <c r="CN160" s="6" t="n"/>
      <c r="CO160" s="6" t="n"/>
      <c r="CP160" s="6" t="n"/>
      <c r="CQ160" s="6" t="n"/>
      <c r="CR160" s="6" t="n"/>
      <c r="CS160" s="6" t="n"/>
      <c r="CT160" s="6" t="n"/>
      <c r="CU160" s="6" t="n"/>
      <c r="CV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n"/>
      <c r="AG161" s="6" t="n"/>
      <c r="AH161" s="6" t="n"/>
      <c r="AI161" s="6" t="n"/>
      <c r="AJ161" s="6" t="n"/>
      <c r="AK161" s="6" t="n"/>
      <c r="AL161" s="6" t="n"/>
      <c r="AM161" s="6" t="n"/>
      <c r="AN161" s="6" t="n"/>
      <c r="AO161" s="6" t="n"/>
      <c r="AP161" s="6" t="n"/>
      <c r="AQ161" s="6" t="n"/>
      <c r="AR161" s="6" t="n"/>
      <c r="AS161" s="6" t="n"/>
      <c r="AT161" s="6" t="n"/>
      <c r="AU161" s="6" t="n"/>
      <c r="AV161" s="6" t="n"/>
      <c r="AW161" s="6" t="n"/>
      <c r="AX161" s="6" t="n"/>
      <c r="AY161" s="6" t="n"/>
      <c r="AZ161" s="6" t="n"/>
      <c r="BA161" s="6" t="n"/>
      <c r="BB161" s="6" t="n"/>
      <c r="BC161" s="6" t="n"/>
      <c r="BD161" s="6" t="n"/>
      <c r="BE161" s="6" t="n"/>
      <c r="BF161" s="6" t="n"/>
      <c r="BG161" s="6" t="n"/>
      <c r="BH161" s="6" t="n"/>
      <c r="BI161" s="6" t="n"/>
      <c r="BJ161" s="6" t="n"/>
      <c r="BK161" s="6" t="n"/>
      <c r="BL161" s="6" t="n"/>
      <c r="BM161" s="6" t="n"/>
      <c r="BN161" s="6" t="n"/>
      <c r="BO161" s="6" t="n"/>
      <c r="BP161" s="6" t="n"/>
      <c r="BQ161" s="6" t="n"/>
      <c r="BR161" s="6" t="n"/>
      <c r="BS161" s="6" t="n"/>
      <c r="BT161" s="6" t="n"/>
      <c r="BU161" s="6" t="n"/>
      <c r="BV161" s="6" t="n"/>
      <c r="BW161" s="6" t="n"/>
      <c r="BX161" s="6" t="n"/>
      <c r="BY161" s="6" t="n"/>
      <c r="BZ161" s="6" t="n"/>
      <c r="CA161" s="6" t="n"/>
      <c r="CB161" s="6" t="n"/>
      <c r="CC161" s="6" t="n"/>
      <c r="CD161" s="6" t="n"/>
      <c r="CE161" s="6" t="n"/>
      <c r="CF161" s="6" t="n"/>
      <c r="CG161" s="6" t="n"/>
      <c r="CH161" s="6" t="n"/>
      <c r="CI161" s="6" t="n"/>
      <c r="CJ161" s="6" t="n"/>
      <c r="CK161" s="6" t="n"/>
      <c r="CL161" s="6" t="n"/>
      <c r="CM161" s="6" t="n"/>
      <c r="CN161" s="6" t="n"/>
      <c r="CO161" s="6" t="n"/>
      <c r="CP161" s="6" t="n"/>
      <c r="CQ161" s="6" t="n"/>
      <c r="CR161" s="6" t="n"/>
      <c r="CS161" s="6" t="n"/>
      <c r="CT161" s="6" t="n"/>
      <c r="CU161" s="6" t="n"/>
      <c r="CV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n"/>
      <c r="AG162" s="6" t="n"/>
      <c r="AH162" s="6" t="n"/>
      <c r="AI162" s="6" t="n"/>
      <c r="AJ162" s="6" t="n"/>
      <c r="AK162" s="6" t="n"/>
      <c r="AL162" s="6" t="n"/>
      <c r="AM162" s="6" t="n"/>
      <c r="AN162" s="6" t="n"/>
      <c r="AO162" s="6" t="n"/>
      <c r="AP162" s="6" t="n"/>
      <c r="AQ162" s="6" t="n"/>
      <c r="AR162" s="6" t="n"/>
      <c r="AS162" s="6" t="n"/>
      <c r="AT162" s="6" t="n"/>
      <c r="AU162" s="6" t="n"/>
      <c r="AV162" s="6" t="n"/>
      <c r="AW162" s="6" t="n"/>
      <c r="AX162" s="6" t="n"/>
      <c r="AY162" s="6" t="n"/>
      <c r="AZ162" s="6" t="n"/>
      <c r="BA162" s="6" t="n"/>
      <c r="BB162" s="6" t="n"/>
      <c r="BC162" s="6" t="n"/>
      <c r="BD162" s="6" t="n"/>
      <c r="BE162" s="6" t="n"/>
      <c r="BF162" s="6" t="n"/>
      <c r="BG162" s="6" t="n"/>
      <c r="BH162" s="6" t="n"/>
      <c r="BI162" s="6" t="n"/>
      <c r="BJ162" s="6" t="n"/>
      <c r="BK162" s="6" t="n"/>
      <c r="BL162" s="6" t="n"/>
      <c r="BM162" s="6" t="n"/>
      <c r="BN162" s="6" t="n"/>
      <c r="BO162" s="6" t="n"/>
      <c r="BP162" s="6" t="n"/>
      <c r="BQ162" s="6" t="n"/>
      <c r="BR162" s="6" t="n"/>
      <c r="BS162" s="6" t="n"/>
      <c r="BT162" s="6" t="n"/>
      <c r="BU162" s="6" t="n"/>
      <c r="BV162" s="6" t="n"/>
      <c r="BW162" s="6" t="n"/>
      <c r="BX162" s="6" t="n"/>
      <c r="BY162" s="6" t="n"/>
      <c r="BZ162" s="6" t="n"/>
      <c r="CA162" s="6" t="n"/>
      <c r="CB162" s="6" t="n"/>
      <c r="CC162" s="6" t="n"/>
      <c r="CD162" s="6" t="n"/>
      <c r="CE162" s="6" t="n"/>
      <c r="CF162" s="6" t="n"/>
      <c r="CG162" s="6" t="n"/>
      <c r="CH162" s="6" t="n"/>
      <c r="CI162" s="6" t="n"/>
      <c r="CJ162" s="6" t="n"/>
      <c r="CK162" s="6" t="n"/>
      <c r="CL162" s="6" t="n"/>
      <c r="CM162" s="6" t="n"/>
      <c r="CN162" s="6" t="n"/>
      <c r="CO162" s="6" t="n"/>
      <c r="CP162" s="6" t="n"/>
      <c r="CQ162" s="6" t="n"/>
      <c r="CR162" s="6" t="n"/>
      <c r="CS162" s="6" t="n"/>
      <c r="CT162" s="6" t="n"/>
      <c r="CU162" s="6" t="n"/>
      <c r="CV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n"/>
      <c r="AG163" s="6" t="n"/>
      <c r="AH163" s="6" t="n"/>
      <c r="AI163" s="6" t="n"/>
      <c r="AJ163" s="6" t="n"/>
      <c r="AK163" s="6" t="n"/>
      <c r="AL163" s="6" t="n"/>
      <c r="AM163" s="6" t="n"/>
      <c r="AN163" s="6" t="n"/>
      <c r="AO163" s="6" t="n"/>
      <c r="AP163" s="6" t="n"/>
      <c r="AQ163" s="6" t="n"/>
      <c r="AR163" s="6" t="n"/>
      <c r="AS163" s="6" t="n"/>
      <c r="AT163" s="6" t="n"/>
      <c r="AU163" s="6" t="n"/>
      <c r="AV163" s="6" t="n"/>
      <c r="AW163" s="6" t="n"/>
      <c r="AX163" s="6" t="n"/>
      <c r="AY163" s="6" t="n"/>
      <c r="AZ163" s="6" t="n"/>
      <c r="BA163" s="6" t="n"/>
      <c r="BB163" s="6" t="n"/>
      <c r="BC163" s="6" t="n"/>
      <c r="BD163" s="6" t="n"/>
      <c r="BE163" s="6" t="n"/>
      <c r="BF163" s="6" t="n"/>
      <c r="BG163" s="6" t="n"/>
      <c r="BH163" s="6" t="n"/>
      <c r="BI163" s="6" t="n"/>
      <c r="BJ163" s="6" t="n"/>
      <c r="BK163" s="6" t="n"/>
      <c r="BL163" s="6" t="n"/>
      <c r="BM163" s="6" t="n"/>
      <c r="BN163" s="6" t="n"/>
      <c r="BO163" s="6" t="n"/>
      <c r="BP163" s="6" t="n"/>
      <c r="BQ163" s="6" t="n"/>
      <c r="BR163" s="6" t="n"/>
      <c r="BS163" s="6" t="n"/>
      <c r="BT163" s="6" t="n"/>
      <c r="BU163" s="6" t="n"/>
      <c r="BV163" s="6" t="n"/>
      <c r="BW163" s="6" t="n"/>
      <c r="BX163" s="6" t="n"/>
      <c r="BY163" s="6" t="n"/>
      <c r="BZ163" s="6" t="n"/>
      <c r="CA163" s="6" t="n"/>
      <c r="CB163" s="6" t="n"/>
      <c r="CC163" s="6" t="n"/>
      <c r="CD163" s="6" t="n"/>
      <c r="CE163" s="6" t="n"/>
      <c r="CF163" s="6" t="n"/>
      <c r="CG163" s="6" t="n"/>
      <c r="CH163" s="6" t="n"/>
      <c r="CI163" s="6" t="n"/>
      <c r="CJ163" s="6" t="n"/>
      <c r="CK163" s="6" t="n"/>
      <c r="CL163" s="6" t="n"/>
      <c r="CM163" s="6" t="n"/>
      <c r="CN163" s="6" t="n"/>
      <c r="CO163" s="6" t="n"/>
      <c r="CP163" s="6" t="n"/>
      <c r="CQ163" s="6" t="n"/>
      <c r="CR163" s="6" t="n"/>
      <c r="CS163" s="6" t="n"/>
      <c r="CT163" s="6" t="n"/>
      <c r="CU163" s="6" t="n"/>
      <c r="CV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n"/>
      <c r="AG164" s="6" t="n"/>
      <c r="AH164" s="6" t="n"/>
      <c r="AI164" s="6" t="n"/>
      <c r="AJ164" s="6" t="n"/>
      <c r="AK164" s="6" t="n"/>
      <c r="AL164" s="6" t="n"/>
      <c r="AM164" s="6" t="n"/>
      <c r="AN164" s="6" t="n"/>
      <c r="AO164" s="6" t="n"/>
      <c r="AP164" s="6" t="n"/>
      <c r="AQ164" s="6" t="n"/>
      <c r="AR164" s="6" t="n"/>
      <c r="AS164" s="6" t="n"/>
      <c r="AT164" s="6" t="n"/>
      <c r="AU164" s="6" t="n"/>
      <c r="AV164" s="6" t="n"/>
      <c r="AW164" s="6" t="n"/>
      <c r="AX164" s="6" t="n"/>
      <c r="AY164" s="6" t="n"/>
      <c r="AZ164" s="6" t="n"/>
      <c r="BA164" s="6" t="n"/>
      <c r="BB164" s="6" t="n"/>
      <c r="BC164" s="6" t="n"/>
      <c r="BD164" s="6" t="n"/>
      <c r="BE164" s="6" t="n"/>
      <c r="BF164" s="6" t="n"/>
      <c r="BG164" s="6" t="n"/>
      <c r="BH164" s="6" t="n"/>
      <c r="BI164" s="6" t="n"/>
      <c r="BJ164" s="6" t="n"/>
      <c r="BK164" s="6" t="n"/>
      <c r="BL164" s="6" t="n"/>
      <c r="BM164" s="6" t="n"/>
      <c r="BN164" s="6" t="n"/>
      <c r="BO164" s="6" t="n"/>
      <c r="BP164" s="6" t="n"/>
      <c r="BQ164" s="6" t="n"/>
      <c r="BR164" s="6" t="n"/>
      <c r="BS164" s="6" t="n"/>
      <c r="BT164" s="6" t="n"/>
      <c r="BU164" s="6" t="n"/>
      <c r="BV164" s="6" t="n"/>
      <c r="BW164" s="6" t="n"/>
      <c r="BX164" s="6" t="n"/>
      <c r="BY164" s="6" t="n"/>
      <c r="BZ164" s="6" t="n"/>
      <c r="CA164" s="6" t="n"/>
      <c r="CB164" s="6" t="n"/>
      <c r="CC164" s="6" t="n"/>
      <c r="CD164" s="6" t="n"/>
      <c r="CE164" s="6" t="n"/>
      <c r="CF164" s="6" t="n"/>
      <c r="CG164" s="6" t="n"/>
      <c r="CH164" s="6" t="n"/>
      <c r="CI164" s="6" t="n"/>
      <c r="CJ164" s="6" t="n"/>
      <c r="CK164" s="6" t="n"/>
      <c r="CL164" s="6" t="n"/>
      <c r="CM164" s="6" t="n"/>
      <c r="CN164" s="6" t="n"/>
      <c r="CO164" s="6" t="n"/>
      <c r="CP164" s="6" t="n"/>
      <c r="CQ164" s="6" t="n"/>
      <c r="CR164" s="6" t="n"/>
      <c r="CS164" s="6" t="n"/>
      <c r="CT164" s="6" t="n"/>
      <c r="CU164" s="6" t="n"/>
      <c r="CV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n"/>
      <c r="AG165" s="6" t="n"/>
      <c r="AH165" s="6" t="n"/>
      <c r="AI165" s="6" t="n"/>
      <c r="AJ165" s="6" t="n"/>
      <c r="AK165" s="6" t="n"/>
      <c r="AL165" s="6" t="n"/>
      <c r="AM165" s="6" t="n"/>
      <c r="AN165" s="6" t="n"/>
      <c r="AO165" s="6" t="n"/>
      <c r="AP165" s="6" t="n"/>
      <c r="AQ165" s="6" t="n"/>
      <c r="AR165" s="6" t="n"/>
      <c r="AS165" s="6" t="n"/>
      <c r="AT165" s="6" t="n"/>
      <c r="AU165" s="6" t="n"/>
      <c r="AV165" s="6" t="n"/>
      <c r="AW165" s="6" t="n"/>
      <c r="AX165" s="6" t="n"/>
      <c r="AY165" s="6" t="n"/>
      <c r="AZ165" s="6" t="n"/>
      <c r="BA165" s="6" t="n"/>
      <c r="BB165" s="6" t="n"/>
      <c r="BC165" s="6" t="n"/>
      <c r="BD165" s="6" t="n"/>
      <c r="BE165" s="6" t="n"/>
      <c r="BF165" s="6" t="n"/>
      <c r="BG165" s="6" t="n"/>
      <c r="BH165" s="6" t="n"/>
      <c r="BI165" s="6" t="n"/>
      <c r="BJ165" s="6" t="n"/>
      <c r="BK165" s="6" t="n"/>
      <c r="BL165" s="6" t="n"/>
      <c r="BM165" s="6" t="n"/>
      <c r="BN165" s="6" t="n"/>
      <c r="BO165" s="6" t="n"/>
      <c r="BP165" s="6" t="n"/>
      <c r="BQ165" s="6" t="n"/>
      <c r="BR165" s="6" t="n"/>
      <c r="BS165" s="6" t="n"/>
      <c r="BT165" s="6" t="n"/>
      <c r="BU165" s="6" t="n"/>
      <c r="BV165" s="6" t="n"/>
      <c r="BW165" s="6" t="n"/>
      <c r="BX165" s="6" t="n"/>
      <c r="BY165" s="6" t="n"/>
      <c r="BZ165" s="6" t="n"/>
      <c r="CA165" s="6" t="n"/>
      <c r="CB165" s="6" t="n"/>
      <c r="CC165" s="6" t="n"/>
      <c r="CD165" s="6" t="n"/>
      <c r="CE165" s="6" t="n"/>
      <c r="CF165" s="6" t="n"/>
      <c r="CG165" s="6" t="n"/>
      <c r="CH165" s="6" t="n"/>
      <c r="CI165" s="6" t="n"/>
      <c r="CJ165" s="6" t="n"/>
      <c r="CK165" s="6" t="n"/>
      <c r="CL165" s="6" t="n"/>
      <c r="CM165" s="6" t="n"/>
      <c r="CN165" s="6" t="n"/>
      <c r="CO165" s="6" t="n"/>
      <c r="CP165" s="6" t="n"/>
      <c r="CQ165" s="6" t="n"/>
      <c r="CR165" s="6" t="n"/>
      <c r="CS165" s="6" t="n"/>
      <c r="CT165" s="6" t="n"/>
      <c r="CU165" s="6" t="n"/>
      <c r="CV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n"/>
      <c r="AG166" s="6" t="n"/>
      <c r="AH166" s="6" t="n"/>
      <c r="AI166" s="6" t="n"/>
      <c r="AJ166" s="6" t="n"/>
      <c r="AK166" s="6" t="n"/>
      <c r="AL166" s="6" t="n"/>
      <c r="AM166" s="6" t="n"/>
      <c r="AN166" s="6" t="n"/>
      <c r="AO166" s="6" t="n"/>
      <c r="AP166" s="6" t="n"/>
      <c r="AQ166" s="6" t="n"/>
      <c r="AR166" s="6" t="n"/>
      <c r="AS166" s="6" t="n"/>
      <c r="AT166" s="6" t="n"/>
      <c r="AU166" s="6" t="n"/>
      <c r="AV166" s="6" t="n"/>
      <c r="AW166" s="6" t="n"/>
      <c r="AX166" s="6" t="n"/>
      <c r="AY166" s="6" t="n"/>
      <c r="AZ166" s="6" t="n"/>
      <c r="BA166" s="6" t="n"/>
      <c r="BB166" s="6" t="n"/>
      <c r="BC166" s="6" t="n"/>
      <c r="BD166" s="6" t="n"/>
      <c r="BE166" s="6" t="n"/>
      <c r="BF166" s="6" t="n"/>
      <c r="BG166" s="6" t="n"/>
      <c r="BH166" s="6" t="n"/>
      <c r="BI166" s="6" t="n"/>
      <c r="BJ166" s="6" t="n"/>
      <c r="BK166" s="6" t="n"/>
      <c r="BL166" s="6" t="n"/>
      <c r="BM166" s="6" t="n"/>
      <c r="BN166" s="6" t="n"/>
      <c r="BO166" s="6" t="n"/>
      <c r="BP166" s="6" t="n"/>
      <c r="BQ166" s="6" t="n"/>
      <c r="BR166" s="6" t="n"/>
      <c r="BS166" s="6" t="n"/>
      <c r="BT166" s="6" t="n"/>
      <c r="BU166" s="6" t="n"/>
      <c r="BV166" s="6" t="n"/>
      <c r="BW166" s="6" t="n"/>
      <c r="BX166" s="6" t="n"/>
      <c r="BY166" s="6" t="n"/>
      <c r="BZ166" s="6" t="n"/>
      <c r="CA166" s="6" t="n"/>
      <c r="CB166" s="6" t="n"/>
      <c r="CC166" s="6" t="n"/>
      <c r="CD166" s="6" t="n"/>
      <c r="CE166" s="6" t="n"/>
      <c r="CF166" s="6" t="n"/>
      <c r="CG166" s="6" t="n"/>
      <c r="CH166" s="6" t="n"/>
      <c r="CI166" s="6" t="n"/>
      <c r="CJ166" s="6" t="n"/>
      <c r="CK166" s="6" t="n"/>
      <c r="CL166" s="6" t="n"/>
      <c r="CM166" s="6" t="n"/>
      <c r="CN166" s="6" t="n"/>
      <c r="CO166" s="6" t="n"/>
      <c r="CP166" s="6" t="n"/>
      <c r="CQ166" s="6" t="n"/>
      <c r="CR166" s="6" t="n"/>
      <c r="CS166" s="6" t="n"/>
      <c r="CT166" s="6" t="n"/>
      <c r="CU166" s="6" t="n"/>
      <c r="CV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n"/>
      <c r="AG167" s="6" t="n"/>
      <c r="AH167" s="6" t="n"/>
      <c r="AI167" s="6" t="n"/>
      <c r="AJ167" s="6" t="n"/>
      <c r="AK167" s="6" t="n"/>
      <c r="AL167" s="6" t="n"/>
      <c r="AM167" s="6" t="n"/>
      <c r="AN167" s="6" t="n"/>
      <c r="AO167" s="6" t="n"/>
      <c r="AP167" s="6" t="n"/>
      <c r="AQ167" s="6" t="n"/>
      <c r="AR167" s="6" t="n"/>
      <c r="AS167" s="6" t="n"/>
      <c r="AT167" s="6" t="n"/>
      <c r="AU167" s="6" t="n"/>
      <c r="AV167" s="6" t="n"/>
      <c r="AW167" s="6" t="n"/>
      <c r="AX167" s="6" t="n"/>
      <c r="AY167" s="6" t="n"/>
      <c r="AZ167" s="6" t="n"/>
      <c r="BA167" s="6" t="n"/>
      <c r="BB167" s="6" t="n"/>
      <c r="BC167" s="6" t="n"/>
      <c r="BD167" s="6" t="n"/>
      <c r="BE167" s="6" t="n"/>
      <c r="BF167" s="6" t="n"/>
      <c r="BG167" s="6" t="n"/>
      <c r="BH167" s="6" t="n"/>
      <c r="BI167" s="6" t="n"/>
      <c r="BJ167" s="6" t="n"/>
      <c r="BK167" s="6" t="n"/>
      <c r="BL167" s="6" t="n"/>
      <c r="BM167" s="6" t="n"/>
      <c r="BN167" s="6" t="n"/>
      <c r="BO167" s="6" t="n"/>
      <c r="BP167" s="6" t="n"/>
      <c r="BQ167" s="6" t="n"/>
      <c r="BR167" s="6" t="n"/>
      <c r="BS167" s="6" t="n"/>
      <c r="BT167" s="6" t="n"/>
      <c r="BU167" s="6" t="n"/>
      <c r="BV167" s="6" t="n"/>
      <c r="BW167" s="6" t="n"/>
      <c r="BX167" s="6" t="n"/>
      <c r="BY167" s="6" t="n"/>
      <c r="BZ167" s="6" t="n"/>
      <c r="CA167" s="6" t="n"/>
      <c r="CB167" s="6" t="n"/>
      <c r="CC167" s="6" t="n"/>
      <c r="CD167" s="6" t="n"/>
      <c r="CE167" s="6" t="n"/>
      <c r="CF167" s="6" t="n"/>
      <c r="CG167" s="6" t="n"/>
      <c r="CH167" s="6" t="n"/>
      <c r="CI167" s="6" t="n"/>
      <c r="CJ167" s="6" t="n"/>
      <c r="CK167" s="6" t="n"/>
      <c r="CL167" s="6" t="n"/>
      <c r="CM167" s="6" t="n"/>
      <c r="CN167" s="6" t="n"/>
      <c r="CO167" s="6" t="n"/>
      <c r="CP167" s="6" t="n"/>
      <c r="CQ167" s="6" t="n"/>
      <c r="CR167" s="6" t="n"/>
      <c r="CS167" s="6" t="n"/>
      <c r="CT167" s="6" t="n"/>
      <c r="CU167" s="6" t="n"/>
      <c r="CV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n"/>
      <c r="AG168" s="6" t="n"/>
      <c r="AH168" s="6" t="n"/>
      <c r="AI168" s="6" t="n"/>
      <c r="AJ168" s="6" t="n"/>
      <c r="AK168" s="6" t="n"/>
      <c r="AL168" s="6" t="n"/>
      <c r="AM168" s="6" t="n"/>
      <c r="AN168" s="6" t="n"/>
      <c r="AO168" s="6" t="n"/>
      <c r="AP168" s="6" t="n"/>
      <c r="AQ168" s="6" t="n"/>
      <c r="AR168" s="6" t="n"/>
      <c r="AS168" s="6" t="n"/>
      <c r="AT168" s="6" t="n"/>
      <c r="AU168" s="6" t="n"/>
      <c r="AV168" s="6" t="n"/>
      <c r="AW168" s="6" t="n"/>
      <c r="AX168" s="6" t="n"/>
      <c r="AY168" s="6" t="n"/>
      <c r="AZ168" s="6" t="n"/>
      <c r="BA168" s="6" t="n"/>
      <c r="BB168" s="6" t="n"/>
      <c r="BC168" s="6" t="n"/>
      <c r="BD168" s="6" t="n"/>
      <c r="BE168" s="6" t="n"/>
      <c r="BF168" s="6" t="n"/>
      <c r="BG168" s="6" t="n"/>
      <c r="BH168" s="6" t="n"/>
      <c r="BI168" s="6" t="n"/>
      <c r="BJ168" s="6" t="n"/>
      <c r="BK168" s="6" t="n"/>
      <c r="BL168" s="6" t="n"/>
      <c r="BM168" s="6" t="n"/>
      <c r="BN168" s="6" t="n"/>
      <c r="BO168" s="6" t="n"/>
      <c r="BP168" s="6" t="n"/>
      <c r="BQ168" s="6" t="n"/>
      <c r="BR168" s="6" t="n"/>
      <c r="BS168" s="6" t="n"/>
      <c r="BT168" s="6" t="n"/>
      <c r="BU168" s="6" t="n"/>
      <c r="BV168" s="6" t="n"/>
      <c r="BW168" s="6" t="n"/>
      <c r="BX168" s="6" t="n"/>
      <c r="BY168" s="6" t="n"/>
      <c r="BZ168" s="6" t="n"/>
      <c r="CA168" s="6" t="n"/>
      <c r="CB168" s="6" t="n"/>
      <c r="CC168" s="6" t="n"/>
      <c r="CD168" s="6" t="n"/>
      <c r="CE168" s="6" t="n"/>
      <c r="CF168" s="6" t="n"/>
      <c r="CG168" s="6" t="n"/>
      <c r="CH168" s="6" t="n"/>
      <c r="CI168" s="6" t="n"/>
      <c r="CJ168" s="6" t="n"/>
      <c r="CK168" s="6" t="n"/>
      <c r="CL168" s="6" t="n"/>
      <c r="CM168" s="6" t="n"/>
      <c r="CN168" s="6" t="n"/>
      <c r="CO168" s="6" t="n"/>
      <c r="CP168" s="6" t="n"/>
      <c r="CQ168" s="6" t="n"/>
      <c r="CR168" s="6" t="n"/>
      <c r="CS168" s="6" t="n"/>
      <c r="CT168" s="6" t="n"/>
      <c r="CU168" s="6" t="n"/>
      <c r="CV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n"/>
      <c r="AG169" s="6" t="n"/>
      <c r="AH169" s="6" t="n"/>
      <c r="AI169" s="6" t="n"/>
      <c r="AJ169" s="6" t="n"/>
      <c r="AK169" s="6" t="n"/>
      <c r="AL169" s="6" t="n"/>
      <c r="AM169" s="6" t="n"/>
      <c r="AN169" s="6" t="n"/>
      <c r="AO169" s="6" t="n"/>
      <c r="AP169" s="6" t="n"/>
      <c r="AQ169" s="6" t="n"/>
      <c r="AR169" s="6" t="n"/>
      <c r="AS169" s="6" t="n"/>
      <c r="AT169" s="6" t="n"/>
      <c r="AU169" s="6" t="n"/>
      <c r="AV169" s="6" t="n"/>
      <c r="AW169" s="6" t="n"/>
      <c r="AX169" s="6" t="n"/>
      <c r="AY169" s="6" t="n"/>
      <c r="AZ169" s="6" t="n"/>
      <c r="BA169" s="6" t="n"/>
      <c r="BB169" s="6" t="n"/>
      <c r="BC169" s="6" t="n"/>
      <c r="BD169" s="6" t="n"/>
      <c r="BE169" s="6" t="n"/>
      <c r="BF169" s="6" t="n"/>
      <c r="BG169" s="6" t="n"/>
      <c r="BH169" s="6" t="n"/>
      <c r="BI169" s="6" t="n"/>
      <c r="BJ169" s="6" t="n"/>
      <c r="BK169" s="6" t="n"/>
      <c r="BL169" s="6" t="n"/>
      <c r="BM169" s="6" t="n"/>
      <c r="BN169" s="6" t="n"/>
      <c r="BO169" s="6" t="n"/>
      <c r="BP169" s="6" t="n"/>
      <c r="BQ169" s="6" t="n"/>
      <c r="BR169" s="6" t="n"/>
      <c r="BS169" s="6" t="n"/>
      <c r="BT169" s="6" t="n"/>
      <c r="BU169" s="6" t="n"/>
      <c r="BV169" s="6" t="n"/>
      <c r="BW169" s="6" t="n"/>
      <c r="BX169" s="6" t="n"/>
      <c r="BY169" s="6" t="n"/>
      <c r="BZ169" s="6" t="n"/>
      <c r="CA169" s="6" t="n"/>
      <c r="CB169" s="6" t="n"/>
      <c r="CC169" s="6" t="n"/>
      <c r="CD169" s="6" t="n"/>
      <c r="CE169" s="6" t="n"/>
      <c r="CF169" s="6" t="n"/>
      <c r="CG169" s="6" t="n"/>
      <c r="CH169" s="6" t="n"/>
      <c r="CI169" s="6" t="n"/>
      <c r="CJ169" s="6" t="n"/>
      <c r="CK169" s="6" t="n"/>
      <c r="CL169" s="6" t="n"/>
      <c r="CM169" s="6" t="n"/>
      <c r="CN169" s="6" t="n"/>
      <c r="CO169" s="6" t="n"/>
      <c r="CP169" s="6" t="n"/>
      <c r="CQ169" s="6" t="n"/>
      <c r="CR169" s="6" t="n"/>
      <c r="CS169" s="6" t="n"/>
      <c r="CT169" s="6" t="n"/>
      <c r="CU169" s="6" t="n"/>
      <c r="CV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n"/>
      <c r="AG170" s="6" t="n"/>
      <c r="AH170" s="6" t="n"/>
      <c r="AI170" s="6" t="n"/>
      <c r="AJ170" s="6" t="n"/>
      <c r="AK170" s="6" t="n"/>
      <c r="AL170" s="6" t="n"/>
      <c r="AM170" s="6" t="n"/>
      <c r="AN170" s="6" t="n"/>
      <c r="AO170" s="6" t="n"/>
      <c r="AP170" s="6" t="n"/>
      <c r="AQ170" s="6" t="n"/>
      <c r="AR170" s="6" t="n"/>
      <c r="AS170" s="6" t="n"/>
      <c r="AT170" s="6" t="n"/>
      <c r="AU170" s="6" t="n"/>
      <c r="AV170" s="6" t="n"/>
      <c r="AW170" s="6" t="n"/>
      <c r="AX170" s="6" t="n"/>
      <c r="AY170" s="6" t="n"/>
      <c r="AZ170" s="6" t="n"/>
      <c r="BA170" s="6" t="n"/>
      <c r="BB170" s="6" t="n"/>
      <c r="BC170" s="6" t="n"/>
      <c r="BD170" s="6" t="n"/>
      <c r="BE170" s="6" t="n"/>
      <c r="BF170" s="6" t="n"/>
      <c r="BG170" s="6" t="n"/>
      <c r="BH170" s="6" t="n"/>
      <c r="BI170" s="6" t="n"/>
      <c r="BJ170" s="6" t="n"/>
      <c r="BK170" s="6" t="n"/>
      <c r="BL170" s="6" t="n"/>
      <c r="BM170" s="6" t="n"/>
      <c r="BN170" s="6" t="n"/>
      <c r="BO170" s="6" t="n"/>
      <c r="BP170" s="6" t="n"/>
      <c r="BQ170" s="6" t="n"/>
      <c r="BR170" s="6" t="n"/>
      <c r="BS170" s="6" t="n"/>
      <c r="BT170" s="6" t="n"/>
      <c r="BU170" s="6" t="n"/>
      <c r="BV170" s="6" t="n"/>
      <c r="BW170" s="6" t="n"/>
      <c r="BX170" s="6" t="n"/>
      <c r="BY170" s="6" t="n"/>
      <c r="BZ170" s="6" t="n"/>
      <c r="CA170" s="6" t="n"/>
      <c r="CB170" s="6" t="n"/>
      <c r="CC170" s="6" t="n"/>
      <c r="CD170" s="6" t="n"/>
      <c r="CE170" s="6" t="n"/>
      <c r="CF170" s="6" t="n"/>
      <c r="CG170" s="6" t="n"/>
      <c r="CH170" s="6" t="n"/>
      <c r="CI170" s="6" t="n"/>
      <c r="CJ170" s="6" t="n"/>
      <c r="CK170" s="6" t="n"/>
      <c r="CL170" s="6" t="n"/>
      <c r="CM170" s="6" t="n"/>
      <c r="CN170" s="6" t="n"/>
      <c r="CO170" s="6" t="n"/>
      <c r="CP170" s="6" t="n"/>
      <c r="CQ170" s="6" t="n"/>
      <c r="CR170" s="6" t="n"/>
      <c r="CS170" s="6" t="n"/>
      <c r="CT170" s="6" t="n"/>
      <c r="CU170" s="6" t="n"/>
      <c r="CV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n"/>
      <c r="AG171" s="6" t="n"/>
      <c r="AH171" s="6" t="n"/>
      <c r="AI171" s="6" t="n"/>
      <c r="AJ171" s="6" t="n"/>
      <c r="AK171" s="6" t="n"/>
      <c r="AL171" s="6" t="n"/>
      <c r="AM171" s="6" t="n"/>
      <c r="AN171" s="6" t="n"/>
      <c r="AO171" s="6" t="n"/>
      <c r="AP171" s="6" t="n"/>
      <c r="AQ171" s="6" t="n"/>
      <c r="AR171" s="6" t="n"/>
      <c r="AS171" s="6" t="n"/>
      <c r="AT171" s="6" t="n"/>
      <c r="AU171" s="6" t="n"/>
      <c r="AV171" s="6" t="n"/>
      <c r="AW171" s="6" t="n"/>
      <c r="AX171" s="6" t="n"/>
      <c r="AY171" s="6" t="n"/>
      <c r="AZ171" s="6" t="n"/>
      <c r="BA171" s="6" t="n"/>
      <c r="BB171" s="6" t="n"/>
      <c r="BC171" s="6" t="n"/>
      <c r="BD171" s="6" t="n"/>
      <c r="BE171" s="6" t="n"/>
      <c r="BF171" s="6" t="n"/>
      <c r="BG171" s="6" t="n"/>
      <c r="BH171" s="6" t="n"/>
      <c r="BI171" s="6" t="n"/>
      <c r="BJ171" s="6" t="n"/>
      <c r="BK171" s="6" t="n"/>
      <c r="BL171" s="6" t="n"/>
      <c r="BM171" s="6" t="n"/>
      <c r="BN171" s="6" t="n"/>
      <c r="BO171" s="6" t="n"/>
      <c r="BP171" s="6" t="n"/>
      <c r="BQ171" s="6" t="n"/>
      <c r="BR171" s="6" t="n"/>
      <c r="BS171" s="6" t="n"/>
      <c r="BT171" s="6" t="n"/>
      <c r="BU171" s="6" t="n"/>
      <c r="BV171" s="6" t="n"/>
      <c r="BW171" s="6" t="n"/>
      <c r="BX171" s="6" t="n"/>
      <c r="BY171" s="6" t="n"/>
      <c r="BZ171" s="6" t="n"/>
      <c r="CA171" s="6" t="n"/>
      <c r="CB171" s="6" t="n"/>
      <c r="CC171" s="6" t="n"/>
      <c r="CD171" s="6" t="n"/>
      <c r="CE171" s="6" t="n"/>
      <c r="CF171" s="6" t="n"/>
      <c r="CG171" s="6" t="n"/>
      <c r="CH171" s="6" t="n"/>
      <c r="CI171" s="6" t="n"/>
      <c r="CJ171" s="6" t="n"/>
      <c r="CK171" s="6" t="n"/>
      <c r="CL171" s="6" t="n"/>
      <c r="CM171" s="6" t="n"/>
      <c r="CN171" s="6" t="n"/>
      <c r="CO171" s="6" t="n"/>
      <c r="CP171" s="6" t="n"/>
      <c r="CQ171" s="6" t="n"/>
      <c r="CR171" s="6" t="n"/>
      <c r="CS171" s="6" t="n"/>
      <c r="CT171" s="6" t="n"/>
      <c r="CU171" s="6" t="n"/>
      <c r="CV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n"/>
      <c r="AG172" s="6" t="n"/>
      <c r="AH172" s="6" t="n"/>
      <c r="AI172" s="6" t="n"/>
      <c r="AJ172" s="6" t="n"/>
      <c r="AK172" s="6" t="n"/>
      <c r="AL172" s="6" t="n"/>
      <c r="AM172" s="6" t="n"/>
      <c r="AN172" s="6" t="n"/>
      <c r="AO172" s="6" t="n"/>
      <c r="AP172" s="6" t="n"/>
      <c r="AQ172" s="6" t="n"/>
      <c r="AR172" s="6" t="n"/>
      <c r="AS172" s="6" t="n"/>
      <c r="AT172" s="6" t="n"/>
      <c r="AU172" s="6" t="n"/>
      <c r="AV172" s="6" t="n"/>
      <c r="AW172" s="6" t="n"/>
      <c r="AX172" s="6" t="n"/>
      <c r="AY172" s="6" t="n"/>
      <c r="AZ172" s="6" t="n"/>
      <c r="BA172" s="6" t="n"/>
      <c r="BB172" s="6" t="n"/>
      <c r="BC172" s="6" t="n"/>
      <c r="BD172" s="6" t="n"/>
      <c r="BE172" s="6" t="n"/>
      <c r="BF172" s="6" t="n"/>
      <c r="BG172" s="6" t="n"/>
      <c r="BH172" s="6" t="n"/>
      <c r="BI172" s="6" t="n"/>
      <c r="BJ172" s="6" t="n"/>
      <c r="BK172" s="6" t="n"/>
      <c r="BL172" s="6" t="n"/>
      <c r="BM172" s="6" t="n"/>
      <c r="BN172" s="6" t="n"/>
      <c r="BO172" s="6" t="n"/>
      <c r="BP172" s="6" t="n"/>
      <c r="BQ172" s="6" t="n"/>
      <c r="BR172" s="6" t="n"/>
      <c r="BS172" s="6" t="n"/>
      <c r="BT172" s="6" t="n"/>
      <c r="BU172" s="6" t="n"/>
      <c r="BV172" s="6" t="n"/>
      <c r="BW172" s="6" t="n"/>
      <c r="BX172" s="6" t="n"/>
      <c r="BY172" s="6" t="n"/>
      <c r="BZ172" s="6" t="n"/>
      <c r="CA172" s="6" t="n"/>
      <c r="CB172" s="6" t="n"/>
      <c r="CC172" s="6" t="n"/>
      <c r="CD172" s="6" t="n"/>
      <c r="CE172" s="6" t="n"/>
      <c r="CF172" s="6" t="n"/>
      <c r="CG172" s="6" t="n"/>
      <c r="CH172" s="6" t="n"/>
      <c r="CI172" s="6" t="n"/>
      <c r="CJ172" s="6" t="n"/>
      <c r="CK172" s="6" t="n"/>
      <c r="CL172" s="6" t="n"/>
      <c r="CM172" s="6" t="n"/>
      <c r="CN172" s="6" t="n"/>
      <c r="CO172" s="6" t="n"/>
      <c r="CP172" s="6" t="n"/>
      <c r="CQ172" s="6" t="n"/>
      <c r="CR172" s="6" t="n"/>
      <c r="CS172" s="6" t="n"/>
      <c r="CT172" s="6" t="n"/>
      <c r="CU172" s="6" t="n"/>
      <c r="CV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n"/>
      <c r="AG173" s="6" t="n"/>
      <c r="AH173" s="6" t="n"/>
      <c r="AI173" s="6" t="n"/>
      <c r="AJ173" s="6" t="n"/>
      <c r="AK173" s="6" t="n"/>
      <c r="AL173" s="6" t="n"/>
      <c r="AM173" s="6" t="n"/>
      <c r="AN173" s="6" t="n"/>
      <c r="AO173" s="6" t="n"/>
      <c r="AP173" s="6" t="n"/>
      <c r="AQ173" s="6" t="n"/>
      <c r="AR173" s="6" t="n"/>
      <c r="AS173" s="6" t="n"/>
      <c r="AT173" s="6" t="n"/>
      <c r="AU173" s="6" t="n"/>
      <c r="AV173" s="6" t="n"/>
      <c r="AW173" s="6" t="n"/>
      <c r="AX173" s="6" t="n"/>
      <c r="AY173" s="6" t="n"/>
      <c r="AZ173" s="6" t="n"/>
      <c r="BA173" s="6" t="n"/>
      <c r="BB173" s="6" t="n"/>
      <c r="BC173" s="6" t="n"/>
      <c r="BD173" s="6" t="n"/>
      <c r="BE173" s="6" t="n"/>
      <c r="BF173" s="6" t="n"/>
      <c r="BG173" s="6" t="n"/>
      <c r="BH173" s="6" t="n"/>
      <c r="BI173" s="6" t="n"/>
      <c r="BJ173" s="6" t="n"/>
      <c r="BK173" s="6" t="n"/>
      <c r="BL173" s="6" t="n"/>
      <c r="BM173" s="6" t="n"/>
      <c r="BN173" s="6" t="n"/>
      <c r="BO173" s="6" t="n"/>
      <c r="BP173" s="6" t="n"/>
      <c r="BQ173" s="6" t="n"/>
      <c r="BR173" s="6" t="n"/>
      <c r="BS173" s="6" t="n"/>
      <c r="BT173" s="6" t="n"/>
      <c r="BU173" s="6" t="n"/>
      <c r="BV173" s="6" t="n"/>
      <c r="BW173" s="6" t="n"/>
      <c r="BX173" s="6" t="n"/>
      <c r="BY173" s="6" t="n"/>
      <c r="BZ173" s="6" t="n"/>
      <c r="CA173" s="6" t="n"/>
      <c r="CB173" s="6" t="n"/>
      <c r="CC173" s="6" t="n"/>
      <c r="CD173" s="6" t="n"/>
      <c r="CE173" s="6" t="n"/>
      <c r="CF173" s="6" t="n"/>
      <c r="CG173" s="6" t="n"/>
      <c r="CH173" s="6" t="n"/>
      <c r="CI173" s="6" t="n"/>
      <c r="CJ173" s="6" t="n"/>
      <c r="CK173" s="6" t="n"/>
      <c r="CL173" s="6" t="n"/>
      <c r="CM173" s="6" t="n"/>
      <c r="CN173" s="6" t="n"/>
      <c r="CO173" s="6" t="n"/>
      <c r="CP173" s="6" t="n"/>
      <c r="CQ173" s="6" t="n"/>
      <c r="CR173" s="6" t="n"/>
      <c r="CS173" s="6" t="n"/>
      <c r="CT173" s="6" t="n"/>
      <c r="CU173" s="6" t="n"/>
      <c r="CV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n"/>
      <c r="AG174" s="6" t="n"/>
      <c r="AH174" s="6" t="n"/>
      <c r="AI174" s="6" t="n"/>
      <c r="AJ174" s="6" t="n"/>
      <c r="AK174" s="6" t="n"/>
      <c r="AL174" s="6" t="n"/>
      <c r="AM174" s="6" t="n"/>
      <c r="AN174" s="6" t="n"/>
      <c r="AO174" s="6" t="n"/>
      <c r="AP174" s="6" t="n"/>
      <c r="AQ174" s="6" t="n"/>
      <c r="AR174" s="6" t="n"/>
      <c r="AS174" s="6" t="n"/>
      <c r="AT174" s="6" t="n"/>
      <c r="AU174" s="6" t="n"/>
      <c r="AV174" s="6" t="n"/>
      <c r="AW174" s="6" t="n"/>
      <c r="AX174" s="6" t="n"/>
      <c r="AY174" s="6" t="n"/>
      <c r="AZ174" s="6" t="n"/>
      <c r="BA174" s="6" t="n"/>
      <c r="BB174" s="6" t="n"/>
      <c r="BC174" s="6" t="n"/>
      <c r="BD174" s="6" t="n"/>
      <c r="BE174" s="6" t="n"/>
      <c r="BF174" s="6" t="n"/>
      <c r="BG174" s="6" t="n"/>
      <c r="BH174" s="6" t="n"/>
      <c r="BI174" s="6" t="n"/>
      <c r="BJ174" s="6" t="n"/>
      <c r="BK174" s="6" t="n"/>
      <c r="BL174" s="6" t="n"/>
      <c r="BM174" s="6" t="n"/>
      <c r="BN174" s="6" t="n"/>
      <c r="BO174" s="6" t="n"/>
      <c r="BP174" s="6" t="n"/>
      <c r="BQ174" s="6" t="n"/>
      <c r="BR174" s="6" t="n"/>
      <c r="BS174" s="6" t="n"/>
      <c r="BT174" s="6" t="n"/>
      <c r="BU174" s="6" t="n"/>
      <c r="BV174" s="6" t="n"/>
      <c r="BW174" s="6" t="n"/>
      <c r="BX174" s="6" t="n"/>
      <c r="BY174" s="6" t="n"/>
      <c r="BZ174" s="6" t="n"/>
      <c r="CA174" s="6" t="n"/>
      <c r="CB174" s="6" t="n"/>
      <c r="CC174" s="6" t="n"/>
      <c r="CD174" s="6" t="n"/>
      <c r="CE174" s="6" t="n"/>
      <c r="CF174" s="6" t="n"/>
      <c r="CG174" s="6" t="n"/>
      <c r="CH174" s="6" t="n"/>
      <c r="CI174" s="6" t="n"/>
      <c r="CJ174" s="6" t="n"/>
      <c r="CK174" s="6" t="n"/>
      <c r="CL174" s="6" t="n"/>
      <c r="CM174" s="6" t="n"/>
      <c r="CN174" s="6" t="n"/>
      <c r="CO174" s="6" t="n"/>
      <c r="CP174" s="6" t="n"/>
      <c r="CQ174" s="6" t="n"/>
      <c r="CR174" s="6" t="n"/>
      <c r="CS174" s="6" t="n"/>
      <c r="CT174" s="6" t="n"/>
      <c r="CU174" s="6" t="n"/>
      <c r="CV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n"/>
      <c r="AG175" s="6" t="n"/>
      <c r="AH175" s="6" t="n"/>
      <c r="AI175" s="6" t="n"/>
      <c r="AJ175" s="6" t="n"/>
      <c r="AK175" s="6" t="n"/>
      <c r="AL175" s="6" t="n"/>
      <c r="AM175" s="6" t="n"/>
      <c r="AN175" s="6" t="n"/>
      <c r="AO175" s="6" t="n"/>
      <c r="AP175" s="6" t="n"/>
      <c r="AQ175" s="6" t="n"/>
      <c r="AR175" s="6" t="n"/>
      <c r="AS175" s="6" t="n"/>
      <c r="AT175" s="6" t="n"/>
      <c r="AU175" s="6" t="n"/>
      <c r="AV175" s="6" t="n"/>
      <c r="AW175" s="6" t="n"/>
      <c r="AX175" s="6" t="n"/>
      <c r="AY175" s="6" t="n"/>
      <c r="AZ175" s="6" t="n"/>
      <c r="BA175" s="6" t="n"/>
      <c r="BB175" s="6" t="n"/>
      <c r="BC175" s="6" t="n"/>
      <c r="BD175" s="6" t="n"/>
      <c r="BE175" s="6" t="n"/>
      <c r="BF175" s="6" t="n"/>
      <c r="BG175" s="6" t="n"/>
      <c r="BH175" s="6" t="n"/>
      <c r="BI175" s="6" t="n"/>
      <c r="BJ175" s="6" t="n"/>
      <c r="BK175" s="6" t="n"/>
      <c r="BL175" s="6" t="n"/>
      <c r="BM175" s="6" t="n"/>
      <c r="BN175" s="6" t="n"/>
      <c r="BO175" s="6" t="n"/>
      <c r="BP175" s="6" t="n"/>
      <c r="BQ175" s="6" t="n"/>
      <c r="BR175" s="6" t="n"/>
      <c r="BS175" s="6" t="n"/>
      <c r="BT175" s="6" t="n"/>
      <c r="BU175" s="6" t="n"/>
      <c r="BV175" s="6" t="n"/>
      <c r="BW175" s="6" t="n"/>
      <c r="BX175" s="6" t="n"/>
      <c r="BY175" s="6" t="n"/>
      <c r="BZ175" s="6" t="n"/>
      <c r="CA175" s="6" t="n"/>
      <c r="CB175" s="6" t="n"/>
      <c r="CC175" s="6" t="n"/>
      <c r="CD175" s="6" t="n"/>
      <c r="CE175" s="6" t="n"/>
      <c r="CF175" s="6" t="n"/>
      <c r="CG175" s="6" t="n"/>
      <c r="CH175" s="6" t="n"/>
      <c r="CI175" s="6" t="n"/>
      <c r="CJ175" s="6" t="n"/>
      <c r="CK175" s="6" t="n"/>
      <c r="CL175" s="6" t="n"/>
      <c r="CM175" s="6" t="n"/>
      <c r="CN175" s="6" t="n"/>
      <c r="CO175" s="6" t="n"/>
      <c r="CP175" s="6" t="n"/>
      <c r="CQ175" s="6" t="n"/>
      <c r="CR175" s="6" t="n"/>
      <c r="CS175" s="6" t="n"/>
      <c r="CT175" s="6" t="n"/>
      <c r="CU175" s="6" t="n"/>
      <c r="CV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n"/>
      <c r="AG176" s="6" t="n"/>
      <c r="AH176" s="6" t="n"/>
      <c r="AI176" s="6" t="n"/>
      <c r="AJ176" s="6" t="n"/>
      <c r="AK176" s="6" t="n"/>
      <c r="AL176" s="6" t="n"/>
      <c r="AM176" s="6" t="n"/>
      <c r="AN176" s="6" t="n"/>
      <c r="AO176" s="6" t="n"/>
      <c r="AP176" s="6" t="n"/>
      <c r="AQ176" s="6" t="n"/>
      <c r="AR176" s="6" t="n"/>
      <c r="AS176" s="6" t="n"/>
      <c r="AT176" s="6" t="n"/>
      <c r="AU176" s="6" t="n"/>
      <c r="AV176" s="6" t="n"/>
      <c r="AW176" s="6" t="n"/>
      <c r="AX176" s="6" t="n"/>
      <c r="AY176" s="6" t="n"/>
      <c r="AZ176" s="6" t="n"/>
      <c r="BA176" s="6" t="n"/>
      <c r="BB176" s="6" t="n"/>
      <c r="BC176" s="6" t="n"/>
      <c r="BD176" s="6" t="n"/>
      <c r="BE176" s="6" t="n"/>
      <c r="BF176" s="6" t="n"/>
      <c r="BG176" s="6" t="n"/>
      <c r="BH176" s="6" t="n"/>
      <c r="BI176" s="6" t="n"/>
      <c r="BJ176" s="6" t="n"/>
      <c r="BK176" s="6" t="n"/>
      <c r="BL176" s="6" t="n"/>
      <c r="BM176" s="6" t="n"/>
      <c r="BN176" s="6" t="n"/>
      <c r="BO176" s="6" t="n"/>
      <c r="BP176" s="6" t="n"/>
      <c r="BQ176" s="6" t="n"/>
      <c r="BR176" s="6" t="n"/>
      <c r="BS176" s="6" t="n"/>
      <c r="BT176" s="6" t="n"/>
      <c r="BU176" s="6" t="n"/>
      <c r="BV176" s="6" t="n"/>
      <c r="BW176" s="6" t="n"/>
      <c r="BX176" s="6" t="n"/>
      <c r="BY176" s="6" t="n"/>
      <c r="BZ176" s="6" t="n"/>
      <c r="CA176" s="6" t="n"/>
      <c r="CB176" s="6" t="n"/>
      <c r="CC176" s="6" t="n"/>
      <c r="CD176" s="6" t="n"/>
      <c r="CE176" s="6" t="n"/>
      <c r="CF176" s="6" t="n"/>
      <c r="CG176" s="6" t="n"/>
      <c r="CH176" s="6" t="n"/>
      <c r="CI176" s="6" t="n"/>
      <c r="CJ176" s="6" t="n"/>
      <c r="CK176" s="6" t="n"/>
      <c r="CL176" s="6" t="n"/>
      <c r="CM176" s="6" t="n"/>
      <c r="CN176" s="6" t="n"/>
      <c r="CO176" s="6" t="n"/>
      <c r="CP176" s="6" t="n"/>
      <c r="CQ176" s="6" t="n"/>
      <c r="CR176" s="6" t="n"/>
      <c r="CS176" s="6" t="n"/>
      <c r="CT176" s="6" t="n"/>
      <c r="CU176" s="6" t="n"/>
      <c r="CV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n"/>
      <c r="AG177" s="6" t="n"/>
      <c r="AH177" s="6" t="n"/>
      <c r="AI177" s="6" t="n"/>
      <c r="AJ177" s="6" t="n"/>
      <c r="AK177" s="6" t="n"/>
      <c r="AL177" s="6" t="n"/>
      <c r="AM177" s="6" t="n"/>
      <c r="AN177" s="6" t="n"/>
      <c r="AO177" s="6" t="n"/>
      <c r="AP177" s="6" t="n"/>
      <c r="AQ177" s="6" t="n"/>
      <c r="AR177" s="6" t="n"/>
      <c r="AS177" s="6" t="n"/>
      <c r="AT177" s="6" t="n"/>
      <c r="AU177" s="6" t="n"/>
      <c r="AV177" s="6" t="n"/>
      <c r="AW177" s="6" t="n"/>
      <c r="AX177" s="6" t="n"/>
      <c r="AY177" s="6" t="n"/>
      <c r="AZ177" s="6" t="n"/>
      <c r="BA177" s="6" t="n"/>
      <c r="BB177" s="6" t="n"/>
      <c r="BC177" s="6" t="n"/>
      <c r="BD177" s="6" t="n"/>
      <c r="BE177" s="6" t="n"/>
      <c r="BF177" s="6" t="n"/>
      <c r="BG177" s="6" t="n"/>
      <c r="BH177" s="6" t="n"/>
      <c r="BI177" s="6" t="n"/>
      <c r="BJ177" s="6" t="n"/>
      <c r="BK177" s="6" t="n"/>
      <c r="BL177" s="6" t="n"/>
      <c r="BM177" s="6" t="n"/>
      <c r="BN177" s="6" t="n"/>
      <c r="BO177" s="6" t="n"/>
      <c r="BP177" s="6" t="n"/>
      <c r="BQ177" s="6" t="n"/>
      <c r="BR177" s="6" t="n"/>
      <c r="BS177" s="6" t="n"/>
      <c r="BT177" s="6" t="n"/>
      <c r="BU177" s="6" t="n"/>
      <c r="BV177" s="6" t="n"/>
      <c r="BW177" s="6" t="n"/>
      <c r="BX177" s="6" t="n"/>
      <c r="BY177" s="6" t="n"/>
      <c r="BZ177" s="6" t="n"/>
      <c r="CA177" s="6" t="n"/>
      <c r="CB177" s="6" t="n"/>
      <c r="CC177" s="6" t="n"/>
      <c r="CD177" s="6" t="n"/>
      <c r="CE177" s="6" t="n"/>
      <c r="CF177" s="6" t="n"/>
      <c r="CG177" s="6" t="n"/>
      <c r="CH177" s="6" t="n"/>
      <c r="CI177" s="6" t="n"/>
      <c r="CJ177" s="6" t="n"/>
      <c r="CK177" s="6" t="n"/>
      <c r="CL177" s="6" t="n"/>
      <c r="CM177" s="6" t="n"/>
      <c r="CN177" s="6" t="n"/>
      <c r="CO177" s="6" t="n"/>
      <c r="CP177" s="6" t="n"/>
      <c r="CQ177" s="6" t="n"/>
      <c r="CR177" s="6" t="n"/>
      <c r="CS177" s="6" t="n"/>
      <c r="CT177" s="6" t="n"/>
      <c r="CU177" s="6" t="n"/>
      <c r="CV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n"/>
      <c r="AG178" s="6" t="n"/>
      <c r="AH178" s="6" t="n"/>
      <c r="AI178" s="6" t="n"/>
      <c r="AJ178" s="6" t="n"/>
      <c r="AK178" s="6" t="n"/>
      <c r="AL178" s="6" t="n"/>
      <c r="AM178" s="6" t="n"/>
      <c r="AN178" s="6" t="n"/>
      <c r="AO178" s="6" t="n"/>
      <c r="AP178" s="6" t="n"/>
      <c r="AQ178" s="6" t="n"/>
      <c r="AR178" s="6" t="n"/>
      <c r="AS178" s="6" t="n"/>
      <c r="AT178" s="6" t="n"/>
      <c r="AU178" s="6" t="n"/>
      <c r="AV178" s="6" t="n"/>
      <c r="AW178" s="6" t="n"/>
      <c r="AX178" s="6" t="n"/>
      <c r="AY178" s="6" t="n"/>
      <c r="AZ178" s="6" t="n"/>
      <c r="BA178" s="6" t="n"/>
      <c r="BB178" s="6" t="n"/>
      <c r="BC178" s="6" t="n"/>
      <c r="BD178" s="6" t="n"/>
      <c r="BE178" s="6" t="n"/>
      <c r="BF178" s="6" t="n"/>
      <c r="BG178" s="6" t="n"/>
      <c r="BH178" s="6" t="n"/>
      <c r="BI178" s="6" t="n"/>
      <c r="BJ178" s="6" t="n"/>
      <c r="BK178" s="6" t="n"/>
      <c r="BL178" s="6" t="n"/>
      <c r="BM178" s="6" t="n"/>
      <c r="BN178" s="6" t="n"/>
      <c r="BO178" s="6" t="n"/>
      <c r="BP178" s="6" t="n"/>
      <c r="BQ178" s="6" t="n"/>
      <c r="BR178" s="6" t="n"/>
      <c r="BS178" s="6" t="n"/>
      <c r="BT178" s="6" t="n"/>
      <c r="BU178" s="6" t="n"/>
      <c r="BV178" s="6" t="n"/>
      <c r="BW178" s="6" t="n"/>
      <c r="BX178" s="6" t="n"/>
      <c r="BY178" s="6" t="n"/>
      <c r="BZ178" s="6" t="n"/>
      <c r="CA178" s="6" t="n"/>
      <c r="CB178" s="6" t="n"/>
      <c r="CC178" s="6" t="n"/>
      <c r="CD178" s="6" t="n"/>
      <c r="CE178" s="6" t="n"/>
      <c r="CF178" s="6" t="n"/>
      <c r="CG178" s="6" t="n"/>
      <c r="CH178" s="6" t="n"/>
      <c r="CI178" s="6" t="n"/>
      <c r="CJ178" s="6" t="n"/>
      <c r="CK178" s="6" t="n"/>
      <c r="CL178" s="6" t="n"/>
      <c r="CM178" s="6" t="n"/>
      <c r="CN178" s="6" t="n"/>
      <c r="CO178" s="6" t="n"/>
      <c r="CP178" s="6" t="n"/>
      <c r="CQ178" s="6" t="n"/>
      <c r="CR178" s="6" t="n"/>
      <c r="CS178" s="6" t="n"/>
      <c r="CT178" s="6" t="n"/>
      <c r="CU178" s="6" t="n"/>
      <c r="CV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c r="AM179" s="6" t="n"/>
      <c r="AN179" s="6" t="n"/>
      <c r="AO179" s="6" t="n"/>
      <c r="AP179" s="6" t="n"/>
      <c r="AQ179" s="6" t="n"/>
      <c r="AR179" s="6" t="n"/>
      <c r="AS179" s="6" t="n"/>
      <c r="AT179" s="6" t="n"/>
      <c r="AU179" s="6" t="n"/>
      <c r="AV179" s="6" t="n"/>
      <c r="AW179" s="6" t="n"/>
      <c r="AX179" s="6" t="n"/>
      <c r="AY179" s="6" t="n"/>
      <c r="AZ179" s="6" t="n"/>
      <c r="BA179" s="6" t="n"/>
      <c r="BB179" s="6" t="n"/>
      <c r="BC179" s="6" t="n"/>
      <c r="BD179" s="6" t="n"/>
      <c r="BE179" s="6" t="n"/>
      <c r="BF179" s="6" t="n"/>
      <c r="BG179" s="6" t="n"/>
      <c r="BH179" s="6" t="n"/>
      <c r="BI179" s="6" t="n"/>
      <c r="BJ179" s="6" t="n"/>
      <c r="BK179" s="6" t="n"/>
      <c r="BL179" s="6" t="n"/>
      <c r="BM179" s="6" t="n"/>
      <c r="BN179" s="6" t="n"/>
      <c r="BO179" s="6" t="n"/>
      <c r="BP179" s="6" t="n"/>
      <c r="BQ179" s="6" t="n"/>
      <c r="BR179" s="6" t="n"/>
      <c r="BS179" s="6" t="n"/>
      <c r="BT179" s="6" t="n"/>
      <c r="BU179" s="6" t="n"/>
      <c r="BV179" s="6" t="n"/>
      <c r="BW179" s="6" t="n"/>
      <c r="BX179" s="6" t="n"/>
      <c r="BY179" s="6" t="n"/>
      <c r="BZ179" s="6" t="n"/>
      <c r="CA179" s="6" t="n"/>
      <c r="CB179" s="6" t="n"/>
      <c r="CC179" s="6" t="n"/>
      <c r="CD179" s="6" t="n"/>
      <c r="CE179" s="6" t="n"/>
      <c r="CF179" s="6" t="n"/>
      <c r="CG179" s="6" t="n"/>
      <c r="CH179" s="6" t="n"/>
      <c r="CI179" s="6" t="n"/>
      <c r="CJ179" s="6" t="n"/>
      <c r="CK179" s="6" t="n"/>
      <c r="CL179" s="6" t="n"/>
      <c r="CM179" s="6" t="n"/>
      <c r="CN179" s="6" t="n"/>
      <c r="CO179" s="6" t="n"/>
      <c r="CP179" s="6" t="n"/>
      <c r="CQ179" s="6" t="n"/>
      <c r="CR179" s="6" t="n"/>
      <c r="CS179" s="6" t="n"/>
      <c r="CT179" s="6" t="n"/>
      <c r="CU179" s="6" t="n"/>
      <c r="CV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c r="AM180" s="6" t="n"/>
      <c r="AN180" s="6" t="n"/>
      <c r="AO180" s="6" t="n"/>
      <c r="AP180" s="6" t="n"/>
      <c r="AQ180" s="6" t="n"/>
      <c r="AR180" s="6" t="n"/>
      <c r="AS180" s="6" t="n"/>
      <c r="AT180" s="6" t="n"/>
      <c r="AU180" s="6" t="n"/>
      <c r="AV180" s="6" t="n"/>
      <c r="AW180" s="6" t="n"/>
      <c r="AX180" s="6" t="n"/>
      <c r="AY180" s="6" t="n"/>
      <c r="AZ180" s="6" t="n"/>
      <c r="BA180" s="6" t="n"/>
      <c r="BB180" s="6" t="n"/>
      <c r="BC180" s="6" t="n"/>
      <c r="BD180" s="6" t="n"/>
      <c r="BE180" s="6" t="n"/>
      <c r="BF180" s="6" t="n"/>
      <c r="BG180" s="6" t="n"/>
      <c r="BH180" s="6" t="n"/>
      <c r="BI180" s="6" t="n"/>
      <c r="BJ180" s="6" t="n"/>
      <c r="BK180" s="6" t="n"/>
      <c r="BL180" s="6" t="n"/>
      <c r="BM180" s="6" t="n"/>
      <c r="BN180" s="6" t="n"/>
      <c r="BO180" s="6" t="n"/>
      <c r="BP180" s="6" t="n"/>
      <c r="BQ180" s="6" t="n"/>
      <c r="BR180" s="6" t="n"/>
      <c r="BS180" s="6" t="n"/>
      <c r="BT180" s="6" t="n"/>
      <c r="BU180" s="6" t="n"/>
      <c r="BV180" s="6" t="n"/>
      <c r="BW180" s="6" t="n"/>
      <c r="BX180" s="6" t="n"/>
      <c r="BY180" s="6" t="n"/>
      <c r="BZ180" s="6" t="n"/>
      <c r="CA180" s="6" t="n"/>
      <c r="CB180" s="6" t="n"/>
      <c r="CC180" s="6" t="n"/>
      <c r="CD180" s="6" t="n"/>
      <c r="CE180" s="6" t="n"/>
      <c r="CF180" s="6" t="n"/>
      <c r="CG180" s="6" t="n"/>
      <c r="CH180" s="6" t="n"/>
      <c r="CI180" s="6" t="n"/>
      <c r="CJ180" s="6" t="n"/>
      <c r="CK180" s="6" t="n"/>
      <c r="CL180" s="6" t="n"/>
      <c r="CM180" s="6" t="n"/>
      <c r="CN180" s="6" t="n"/>
      <c r="CO180" s="6" t="n"/>
      <c r="CP180" s="6" t="n"/>
      <c r="CQ180" s="6" t="n"/>
      <c r="CR180" s="6" t="n"/>
      <c r="CS180" s="6" t="n"/>
      <c r="CT180" s="6" t="n"/>
      <c r="CU180" s="6" t="n"/>
      <c r="CV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c r="AM181" s="6" t="n"/>
      <c r="AN181" s="6" t="n"/>
      <c r="AO181" s="6" t="n"/>
      <c r="AP181" s="6" t="n"/>
      <c r="AQ181" s="6" t="n"/>
      <c r="AR181" s="6" t="n"/>
      <c r="AS181" s="6" t="n"/>
      <c r="AT181" s="6" t="n"/>
      <c r="AU181" s="6" t="n"/>
      <c r="AV181" s="6" t="n"/>
      <c r="AW181" s="6" t="n"/>
      <c r="AX181" s="6" t="n"/>
      <c r="AY181" s="6" t="n"/>
      <c r="AZ181" s="6" t="n"/>
      <c r="BA181" s="6" t="n"/>
      <c r="BB181" s="6" t="n"/>
      <c r="BC181" s="6" t="n"/>
      <c r="BD181" s="6" t="n"/>
      <c r="BE181" s="6" t="n"/>
      <c r="BF181" s="6" t="n"/>
      <c r="BG181" s="6" t="n"/>
      <c r="BH181" s="6" t="n"/>
      <c r="BI181" s="6" t="n"/>
      <c r="BJ181" s="6" t="n"/>
      <c r="BK181" s="6" t="n"/>
      <c r="BL181" s="6" t="n"/>
      <c r="BM181" s="6" t="n"/>
      <c r="BN181" s="6" t="n"/>
      <c r="BO181" s="6" t="n"/>
      <c r="BP181" s="6" t="n"/>
      <c r="BQ181" s="6" t="n"/>
      <c r="BR181" s="6" t="n"/>
      <c r="BS181" s="6" t="n"/>
      <c r="BT181" s="6" t="n"/>
      <c r="BU181" s="6" t="n"/>
      <c r="BV181" s="6" t="n"/>
      <c r="BW181" s="6" t="n"/>
      <c r="BX181" s="6" t="n"/>
      <c r="BY181" s="6" t="n"/>
      <c r="BZ181" s="6" t="n"/>
      <c r="CA181" s="6" t="n"/>
      <c r="CB181" s="6" t="n"/>
      <c r="CC181" s="6" t="n"/>
      <c r="CD181" s="6" t="n"/>
      <c r="CE181" s="6" t="n"/>
      <c r="CF181" s="6" t="n"/>
      <c r="CG181" s="6" t="n"/>
      <c r="CH181" s="6" t="n"/>
      <c r="CI181" s="6" t="n"/>
      <c r="CJ181" s="6" t="n"/>
      <c r="CK181" s="6" t="n"/>
      <c r="CL181" s="6" t="n"/>
      <c r="CM181" s="6" t="n"/>
      <c r="CN181" s="6" t="n"/>
      <c r="CO181" s="6" t="n"/>
      <c r="CP181" s="6" t="n"/>
      <c r="CQ181" s="6" t="n"/>
      <c r="CR181" s="6" t="n"/>
      <c r="CS181" s="6" t="n"/>
      <c r="CT181" s="6" t="n"/>
      <c r="CU181" s="6" t="n"/>
      <c r="CV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c r="AM182" s="6" t="n"/>
      <c r="AN182" s="6" t="n"/>
      <c r="AO182" s="6" t="n"/>
      <c r="AP182" s="6" t="n"/>
      <c r="AQ182" s="6" t="n"/>
      <c r="AR182" s="6" t="n"/>
      <c r="AS182" s="6" t="n"/>
      <c r="AT182" s="6" t="n"/>
      <c r="AU182" s="6" t="n"/>
      <c r="AV182" s="6" t="n"/>
      <c r="AW182" s="6" t="n"/>
      <c r="AX182" s="6" t="n"/>
      <c r="AY182" s="6" t="n"/>
      <c r="AZ182" s="6" t="n"/>
      <c r="BA182" s="6" t="n"/>
      <c r="BB182" s="6" t="n"/>
      <c r="BC182" s="6" t="n"/>
      <c r="BD182" s="6" t="n"/>
      <c r="BE182" s="6" t="n"/>
      <c r="BF182" s="6" t="n"/>
      <c r="BG182" s="6" t="n"/>
      <c r="BH182" s="6" t="n"/>
      <c r="BI182" s="6" t="n"/>
      <c r="BJ182" s="6" t="n"/>
      <c r="BK182" s="6" t="n"/>
      <c r="BL182" s="6" t="n"/>
      <c r="BM182" s="6" t="n"/>
      <c r="BN182" s="6" t="n"/>
      <c r="BO182" s="6" t="n"/>
      <c r="BP182" s="6" t="n"/>
      <c r="BQ182" s="6" t="n"/>
      <c r="BR182" s="6" t="n"/>
      <c r="BS182" s="6" t="n"/>
      <c r="BT182" s="6" t="n"/>
      <c r="BU182" s="6" t="n"/>
      <c r="BV182" s="6" t="n"/>
      <c r="BW182" s="6" t="n"/>
      <c r="BX182" s="6" t="n"/>
      <c r="BY182" s="6" t="n"/>
      <c r="BZ182" s="6" t="n"/>
      <c r="CA182" s="6" t="n"/>
      <c r="CB182" s="6" t="n"/>
      <c r="CC182" s="6" t="n"/>
      <c r="CD182" s="6" t="n"/>
      <c r="CE182" s="6" t="n"/>
      <c r="CF182" s="6" t="n"/>
      <c r="CG182" s="6" t="n"/>
      <c r="CH182" s="6" t="n"/>
      <c r="CI182" s="6" t="n"/>
      <c r="CJ182" s="6" t="n"/>
      <c r="CK182" s="6" t="n"/>
      <c r="CL182" s="6" t="n"/>
      <c r="CM182" s="6" t="n"/>
      <c r="CN182" s="6" t="n"/>
      <c r="CO182" s="6" t="n"/>
      <c r="CP182" s="6" t="n"/>
      <c r="CQ182" s="6" t="n"/>
      <c r="CR182" s="6" t="n"/>
      <c r="CS182" s="6" t="n"/>
      <c r="CT182" s="6" t="n"/>
      <c r="CU182" s="6" t="n"/>
      <c r="CV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c r="AM183" s="6" t="n"/>
      <c r="AN183" s="6" t="n"/>
      <c r="AO183" s="6" t="n"/>
      <c r="AP183" s="6" t="n"/>
      <c r="AQ183" s="6" t="n"/>
      <c r="AR183" s="6" t="n"/>
      <c r="AS183" s="6" t="n"/>
      <c r="AT183" s="6" t="n"/>
      <c r="AU183" s="6" t="n"/>
      <c r="AV183" s="6" t="n"/>
      <c r="AW183" s="6" t="n"/>
      <c r="AX183" s="6" t="n"/>
      <c r="AY183" s="6" t="n"/>
      <c r="AZ183" s="6" t="n"/>
      <c r="BA183" s="6" t="n"/>
      <c r="BB183" s="6" t="n"/>
      <c r="BC183" s="6" t="n"/>
      <c r="BD183" s="6" t="n"/>
      <c r="BE183" s="6" t="n"/>
      <c r="BF183" s="6" t="n"/>
      <c r="BG183" s="6" t="n"/>
      <c r="BH183" s="6" t="n"/>
      <c r="BI183" s="6" t="n"/>
      <c r="BJ183" s="6" t="n"/>
      <c r="BK183" s="6" t="n"/>
      <c r="BL183" s="6" t="n"/>
      <c r="BM183" s="6" t="n"/>
      <c r="BN183" s="6" t="n"/>
      <c r="BO183" s="6" t="n"/>
      <c r="BP183" s="6" t="n"/>
      <c r="BQ183" s="6" t="n"/>
      <c r="BR183" s="6" t="n"/>
      <c r="BS183" s="6" t="n"/>
      <c r="BT183" s="6" t="n"/>
      <c r="BU183" s="6" t="n"/>
      <c r="BV183" s="6" t="n"/>
      <c r="BW183" s="6" t="n"/>
      <c r="BX183" s="6" t="n"/>
      <c r="BY183" s="6" t="n"/>
      <c r="BZ183" s="6" t="n"/>
      <c r="CA183" s="6" t="n"/>
      <c r="CB183" s="6" t="n"/>
      <c r="CC183" s="6" t="n"/>
      <c r="CD183" s="6" t="n"/>
      <c r="CE183" s="6" t="n"/>
      <c r="CF183" s="6" t="n"/>
      <c r="CG183" s="6" t="n"/>
      <c r="CH183" s="6" t="n"/>
      <c r="CI183" s="6" t="n"/>
      <c r="CJ183" s="6" t="n"/>
      <c r="CK183" s="6" t="n"/>
      <c r="CL183" s="6" t="n"/>
      <c r="CM183" s="6" t="n"/>
      <c r="CN183" s="6" t="n"/>
      <c r="CO183" s="6" t="n"/>
      <c r="CP183" s="6" t="n"/>
      <c r="CQ183" s="6" t="n"/>
      <c r="CR183" s="6" t="n"/>
      <c r="CS183" s="6" t="n"/>
      <c r="CT183" s="6" t="n"/>
      <c r="CU183" s="6" t="n"/>
      <c r="CV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c r="AM184" s="6" t="n"/>
      <c r="AN184" s="6" t="n"/>
      <c r="AO184" s="6" t="n"/>
      <c r="AP184" s="6" t="n"/>
      <c r="AQ184" s="6" t="n"/>
      <c r="AR184" s="6" t="n"/>
      <c r="AS184" s="6" t="n"/>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n"/>
      <c r="BP184" s="6" t="n"/>
      <c r="BQ184" s="6" t="n"/>
      <c r="BR184" s="6" t="n"/>
      <c r="BS184" s="6" t="n"/>
      <c r="BT184" s="6" t="n"/>
      <c r="BU184" s="6" t="n"/>
      <c r="BV184" s="6" t="n"/>
      <c r="BW184" s="6" t="n"/>
      <c r="BX184" s="6" t="n"/>
      <c r="BY184" s="6" t="n"/>
      <c r="BZ184" s="6" t="n"/>
      <c r="CA184" s="6" t="n"/>
      <c r="CB184" s="6" t="n"/>
      <c r="CC184" s="6" t="n"/>
      <c r="CD184" s="6" t="n"/>
      <c r="CE184" s="6" t="n"/>
      <c r="CF184" s="6" t="n"/>
      <c r="CG184" s="6" t="n"/>
      <c r="CH184" s="6" t="n"/>
      <c r="CI184" s="6" t="n"/>
      <c r="CJ184" s="6" t="n"/>
      <c r="CK184" s="6" t="n"/>
      <c r="CL184" s="6" t="n"/>
      <c r="CM184" s="6" t="n"/>
      <c r="CN184" s="6" t="n"/>
      <c r="CO184" s="6" t="n"/>
      <c r="CP184" s="6" t="n"/>
      <c r="CQ184" s="6" t="n"/>
      <c r="CR184" s="6" t="n"/>
      <c r="CS184" s="6" t="n"/>
      <c r="CT184" s="6" t="n"/>
      <c r="CU184" s="6" t="n"/>
      <c r="CV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c r="AM185" s="6" t="n"/>
      <c r="AN185" s="6" t="n"/>
      <c r="AO185" s="6" t="n"/>
      <c r="AP185" s="6" t="n"/>
      <c r="AQ185" s="6" t="n"/>
      <c r="AR185" s="6" t="n"/>
      <c r="AS185" s="6" t="n"/>
      <c r="AT185" s="6" t="n"/>
      <c r="AU185" s="6" t="n"/>
      <c r="AV185" s="6" t="n"/>
      <c r="AW185" s="6" t="n"/>
      <c r="AX185" s="6" t="n"/>
      <c r="AY185" s="6" t="n"/>
      <c r="AZ185" s="6" t="n"/>
      <c r="BA185" s="6" t="n"/>
      <c r="BB185" s="6" t="n"/>
      <c r="BC185" s="6" t="n"/>
      <c r="BD185" s="6" t="n"/>
      <c r="BE185" s="6" t="n"/>
      <c r="BF185" s="6" t="n"/>
      <c r="BG185" s="6" t="n"/>
      <c r="BH185" s="6" t="n"/>
      <c r="BI185" s="6" t="n"/>
      <c r="BJ185" s="6" t="n"/>
      <c r="BK185" s="6" t="n"/>
      <c r="BL185" s="6" t="n"/>
      <c r="BM185" s="6" t="n"/>
      <c r="BN185" s="6" t="n"/>
      <c r="BO185" s="6" t="n"/>
      <c r="BP185" s="6" t="n"/>
      <c r="BQ185" s="6" t="n"/>
      <c r="BR185" s="6" t="n"/>
      <c r="BS185" s="6" t="n"/>
      <c r="BT185" s="6" t="n"/>
      <c r="BU185" s="6" t="n"/>
      <c r="BV185" s="6" t="n"/>
      <c r="BW185" s="6" t="n"/>
      <c r="BX185" s="6" t="n"/>
      <c r="BY185" s="6" t="n"/>
      <c r="BZ185" s="6" t="n"/>
      <c r="CA185" s="6" t="n"/>
      <c r="CB185" s="6" t="n"/>
      <c r="CC185" s="6" t="n"/>
      <c r="CD185" s="6" t="n"/>
      <c r="CE185" s="6" t="n"/>
      <c r="CF185" s="6" t="n"/>
      <c r="CG185" s="6" t="n"/>
      <c r="CH185" s="6" t="n"/>
      <c r="CI185" s="6" t="n"/>
      <c r="CJ185" s="6" t="n"/>
      <c r="CK185" s="6" t="n"/>
      <c r="CL185" s="6" t="n"/>
      <c r="CM185" s="6" t="n"/>
      <c r="CN185" s="6" t="n"/>
      <c r="CO185" s="6" t="n"/>
      <c r="CP185" s="6" t="n"/>
      <c r="CQ185" s="6" t="n"/>
      <c r="CR185" s="6" t="n"/>
      <c r="CS185" s="6" t="n"/>
      <c r="CT185" s="6" t="n"/>
      <c r="CU185" s="6" t="n"/>
      <c r="CV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c r="AM186" s="6" t="n"/>
      <c r="AN186" s="6" t="n"/>
      <c r="AO186" s="6" t="n"/>
      <c r="AP186" s="6" t="n"/>
      <c r="AQ186" s="6" t="n"/>
      <c r="AR186" s="6" t="n"/>
      <c r="AS186" s="6" t="n"/>
      <c r="AT186" s="6" t="n"/>
      <c r="AU186" s="6" t="n"/>
      <c r="AV186" s="6" t="n"/>
      <c r="AW186" s="6" t="n"/>
      <c r="AX186" s="6" t="n"/>
      <c r="AY186" s="6" t="n"/>
      <c r="AZ186" s="6" t="n"/>
      <c r="BA186" s="6" t="n"/>
      <c r="BB186" s="6" t="n"/>
      <c r="BC186" s="6" t="n"/>
      <c r="BD186" s="6" t="n"/>
      <c r="BE186" s="6" t="n"/>
      <c r="BF186" s="6" t="n"/>
      <c r="BG186" s="6" t="n"/>
      <c r="BH186" s="6" t="n"/>
      <c r="BI186" s="6" t="n"/>
      <c r="BJ186" s="6" t="n"/>
      <c r="BK186" s="6" t="n"/>
      <c r="BL186" s="6" t="n"/>
      <c r="BM186" s="6" t="n"/>
      <c r="BN186" s="6" t="n"/>
      <c r="BO186" s="6" t="n"/>
      <c r="BP186" s="6" t="n"/>
      <c r="BQ186" s="6" t="n"/>
      <c r="BR186" s="6" t="n"/>
      <c r="BS186" s="6" t="n"/>
      <c r="BT186" s="6" t="n"/>
      <c r="BU186" s="6" t="n"/>
      <c r="BV186" s="6" t="n"/>
      <c r="BW186" s="6" t="n"/>
      <c r="BX186" s="6" t="n"/>
      <c r="BY186" s="6" t="n"/>
      <c r="BZ186" s="6" t="n"/>
      <c r="CA186" s="6" t="n"/>
      <c r="CB186" s="6" t="n"/>
      <c r="CC186" s="6" t="n"/>
      <c r="CD186" s="6" t="n"/>
      <c r="CE186" s="6" t="n"/>
      <c r="CF186" s="6" t="n"/>
      <c r="CG186" s="6" t="n"/>
      <c r="CH186" s="6" t="n"/>
      <c r="CI186" s="6" t="n"/>
      <c r="CJ186" s="6" t="n"/>
      <c r="CK186" s="6" t="n"/>
      <c r="CL186" s="6" t="n"/>
      <c r="CM186" s="6" t="n"/>
      <c r="CN186" s="6" t="n"/>
      <c r="CO186" s="6" t="n"/>
      <c r="CP186" s="6" t="n"/>
      <c r="CQ186" s="6" t="n"/>
      <c r="CR186" s="6" t="n"/>
      <c r="CS186" s="6" t="n"/>
      <c r="CT186" s="6" t="n"/>
      <c r="CU186" s="6" t="n"/>
      <c r="CV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c r="AM187" s="6" t="n"/>
      <c r="AN187" s="6" t="n"/>
      <c r="AO187" s="6" t="n"/>
      <c r="AP187" s="6" t="n"/>
      <c r="AQ187" s="6" t="n"/>
      <c r="AR187" s="6" t="n"/>
      <c r="AS187" s="6" t="n"/>
      <c r="AT187" s="6" t="n"/>
      <c r="AU187" s="6" t="n"/>
      <c r="AV187" s="6" t="n"/>
      <c r="AW187" s="6" t="n"/>
      <c r="AX187" s="6" t="n"/>
      <c r="AY187" s="6" t="n"/>
      <c r="AZ187" s="6" t="n"/>
      <c r="BA187" s="6" t="n"/>
      <c r="BB187" s="6" t="n"/>
      <c r="BC187" s="6" t="n"/>
      <c r="BD187" s="6" t="n"/>
      <c r="BE187" s="6" t="n"/>
      <c r="BF187" s="6" t="n"/>
      <c r="BG187" s="6" t="n"/>
      <c r="BH187" s="6" t="n"/>
      <c r="BI187" s="6" t="n"/>
      <c r="BJ187" s="6" t="n"/>
      <c r="BK187" s="6" t="n"/>
      <c r="BL187" s="6" t="n"/>
      <c r="BM187" s="6" t="n"/>
      <c r="BN187" s="6" t="n"/>
      <c r="BO187" s="6" t="n"/>
      <c r="BP187" s="6" t="n"/>
      <c r="BQ187" s="6" t="n"/>
      <c r="BR187" s="6" t="n"/>
      <c r="BS187" s="6" t="n"/>
      <c r="BT187" s="6" t="n"/>
      <c r="BU187" s="6" t="n"/>
      <c r="BV187" s="6" t="n"/>
      <c r="BW187" s="6" t="n"/>
      <c r="BX187" s="6" t="n"/>
      <c r="BY187" s="6" t="n"/>
      <c r="BZ187" s="6" t="n"/>
      <c r="CA187" s="6" t="n"/>
      <c r="CB187" s="6" t="n"/>
      <c r="CC187" s="6" t="n"/>
      <c r="CD187" s="6" t="n"/>
      <c r="CE187" s="6" t="n"/>
      <c r="CF187" s="6" t="n"/>
      <c r="CG187" s="6" t="n"/>
      <c r="CH187" s="6" t="n"/>
      <c r="CI187" s="6" t="n"/>
      <c r="CJ187" s="6" t="n"/>
      <c r="CK187" s="6" t="n"/>
      <c r="CL187" s="6" t="n"/>
      <c r="CM187" s="6" t="n"/>
      <c r="CN187" s="6" t="n"/>
      <c r="CO187" s="6" t="n"/>
      <c r="CP187" s="6" t="n"/>
      <c r="CQ187" s="6" t="n"/>
      <c r="CR187" s="6" t="n"/>
      <c r="CS187" s="6" t="n"/>
      <c r="CT187" s="6" t="n"/>
      <c r="CU187" s="6" t="n"/>
      <c r="CV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c r="AM188" s="6" t="n"/>
      <c r="AN188" s="6" t="n"/>
      <c r="AO188" s="6" t="n"/>
      <c r="AP188" s="6" t="n"/>
      <c r="AQ188" s="6" t="n"/>
      <c r="AR188" s="6" t="n"/>
      <c r="AS188" s="6" t="n"/>
      <c r="AT188" s="6" t="n"/>
      <c r="AU188" s="6" t="n"/>
      <c r="AV188" s="6" t="n"/>
      <c r="AW188" s="6" t="n"/>
      <c r="AX188" s="6" t="n"/>
      <c r="AY188" s="6" t="n"/>
      <c r="AZ188" s="6" t="n"/>
      <c r="BA188" s="6" t="n"/>
      <c r="BB188" s="6" t="n"/>
      <c r="BC188" s="6" t="n"/>
      <c r="BD188" s="6" t="n"/>
      <c r="BE188" s="6" t="n"/>
      <c r="BF188" s="6" t="n"/>
      <c r="BG188" s="6" t="n"/>
      <c r="BH188" s="6" t="n"/>
      <c r="BI188" s="6" t="n"/>
      <c r="BJ188" s="6" t="n"/>
      <c r="BK188" s="6" t="n"/>
      <c r="BL188" s="6" t="n"/>
      <c r="BM188" s="6" t="n"/>
      <c r="BN188" s="6" t="n"/>
      <c r="BO188" s="6" t="n"/>
      <c r="BP188" s="6" t="n"/>
      <c r="BQ188" s="6" t="n"/>
      <c r="BR188" s="6" t="n"/>
      <c r="BS188" s="6" t="n"/>
      <c r="BT188" s="6" t="n"/>
      <c r="BU188" s="6" t="n"/>
      <c r="BV188" s="6" t="n"/>
      <c r="BW188" s="6" t="n"/>
      <c r="BX188" s="6" t="n"/>
      <c r="BY188" s="6" t="n"/>
      <c r="BZ188" s="6" t="n"/>
      <c r="CA188" s="6" t="n"/>
      <c r="CB188" s="6" t="n"/>
      <c r="CC188" s="6" t="n"/>
      <c r="CD188" s="6" t="n"/>
      <c r="CE188" s="6" t="n"/>
      <c r="CF188" s="6" t="n"/>
      <c r="CG188" s="6" t="n"/>
      <c r="CH188" s="6" t="n"/>
      <c r="CI188" s="6" t="n"/>
      <c r="CJ188" s="6" t="n"/>
      <c r="CK188" s="6" t="n"/>
      <c r="CL188" s="6" t="n"/>
      <c r="CM188" s="6" t="n"/>
      <c r="CN188" s="6" t="n"/>
      <c r="CO188" s="6" t="n"/>
      <c r="CP188" s="6" t="n"/>
      <c r="CQ188" s="6" t="n"/>
      <c r="CR188" s="6" t="n"/>
      <c r="CS188" s="6" t="n"/>
      <c r="CT188" s="6" t="n"/>
      <c r="CU188" s="6" t="n"/>
      <c r="CV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n"/>
      <c r="BC189" s="6" t="n"/>
      <c r="BD189" s="6" t="n"/>
      <c r="BE189" s="6" t="n"/>
      <c r="BF189" s="6" t="n"/>
      <c r="BG189" s="6" t="n"/>
      <c r="BH189" s="6" t="n"/>
      <c r="BI189" s="6" t="n"/>
      <c r="BJ189" s="6" t="n"/>
      <c r="BK189" s="6" t="n"/>
      <c r="BL189" s="6" t="n"/>
      <c r="BM189" s="6" t="n"/>
      <c r="BN189" s="6" t="n"/>
      <c r="BO189" s="6" t="n"/>
      <c r="BP189" s="6" t="n"/>
      <c r="BQ189" s="6" t="n"/>
      <c r="BR189" s="6" t="n"/>
      <c r="BS189" s="6" t="n"/>
      <c r="BT189" s="6" t="n"/>
      <c r="BU189" s="6" t="n"/>
      <c r="BV189" s="6" t="n"/>
      <c r="BW189" s="6" t="n"/>
      <c r="BX189" s="6" t="n"/>
      <c r="BY189" s="6" t="n"/>
      <c r="BZ189" s="6" t="n"/>
      <c r="CA189" s="6" t="n"/>
      <c r="CB189" s="6" t="n"/>
      <c r="CC189" s="6" t="n"/>
      <c r="CD189" s="6" t="n"/>
      <c r="CE189" s="6" t="n"/>
      <c r="CF189" s="6" t="n"/>
      <c r="CG189" s="6" t="n"/>
      <c r="CH189" s="6" t="n"/>
      <c r="CI189" s="6" t="n"/>
      <c r="CJ189" s="6" t="n"/>
      <c r="CK189" s="6" t="n"/>
      <c r="CL189" s="6" t="n"/>
      <c r="CM189" s="6" t="n"/>
      <c r="CN189" s="6" t="n"/>
      <c r="CO189" s="6" t="n"/>
      <c r="CP189" s="6" t="n"/>
      <c r="CQ189" s="6" t="n"/>
      <c r="CR189" s="6" t="n"/>
      <c r="CS189" s="6" t="n"/>
      <c r="CT189" s="6" t="n"/>
      <c r="CU189" s="6" t="n"/>
      <c r="CV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n"/>
      <c r="BC190" s="6" t="n"/>
      <c r="BD190" s="6" t="n"/>
      <c r="BE190" s="6" t="n"/>
      <c r="BF190" s="6" t="n"/>
      <c r="BG190" s="6" t="n"/>
      <c r="BH190" s="6" t="n"/>
      <c r="BI190" s="6" t="n"/>
      <c r="BJ190" s="6" t="n"/>
      <c r="BK190" s="6" t="n"/>
      <c r="BL190" s="6" t="n"/>
      <c r="BM190" s="6" t="n"/>
      <c r="BN190" s="6" t="n"/>
      <c r="BO190" s="6" t="n"/>
      <c r="BP190" s="6" t="n"/>
      <c r="BQ190" s="6" t="n"/>
      <c r="BR190" s="6" t="n"/>
      <c r="BS190" s="6" t="n"/>
      <c r="BT190" s="6" t="n"/>
      <c r="BU190" s="6" t="n"/>
      <c r="BV190" s="6" t="n"/>
      <c r="BW190" s="6" t="n"/>
      <c r="BX190" s="6" t="n"/>
      <c r="BY190" s="6" t="n"/>
      <c r="BZ190" s="6" t="n"/>
      <c r="CA190" s="6" t="n"/>
      <c r="CB190" s="6" t="n"/>
      <c r="CC190" s="6" t="n"/>
      <c r="CD190" s="6" t="n"/>
      <c r="CE190" s="6" t="n"/>
      <c r="CF190" s="6" t="n"/>
      <c r="CG190" s="6" t="n"/>
      <c r="CH190" s="6" t="n"/>
      <c r="CI190" s="6" t="n"/>
      <c r="CJ190" s="6" t="n"/>
      <c r="CK190" s="6" t="n"/>
      <c r="CL190" s="6" t="n"/>
      <c r="CM190" s="6" t="n"/>
      <c r="CN190" s="6" t="n"/>
      <c r="CO190" s="6" t="n"/>
      <c r="CP190" s="6" t="n"/>
      <c r="CQ190" s="6" t="n"/>
      <c r="CR190" s="6" t="n"/>
      <c r="CS190" s="6" t="n"/>
      <c r="CT190" s="6" t="n"/>
      <c r="CU190" s="6" t="n"/>
      <c r="CV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n"/>
      <c r="BC191" s="6" t="n"/>
      <c r="BD191" s="6" t="n"/>
      <c r="BE191" s="6" t="n"/>
      <c r="BF191" s="6" t="n"/>
      <c r="BG191" s="6" t="n"/>
      <c r="BH191" s="6" t="n"/>
      <c r="BI191" s="6" t="n"/>
      <c r="BJ191" s="6" t="n"/>
      <c r="BK191" s="6" t="n"/>
      <c r="BL191" s="6" t="n"/>
      <c r="BM191" s="6" t="n"/>
      <c r="BN191" s="6" t="n"/>
      <c r="BO191" s="6" t="n"/>
      <c r="BP191" s="6" t="n"/>
      <c r="BQ191" s="6" t="n"/>
      <c r="BR191" s="6" t="n"/>
      <c r="BS191" s="6" t="n"/>
      <c r="BT191" s="6" t="n"/>
      <c r="BU191" s="6" t="n"/>
      <c r="BV191" s="6" t="n"/>
      <c r="BW191" s="6" t="n"/>
      <c r="BX191" s="6" t="n"/>
      <c r="BY191" s="6" t="n"/>
      <c r="BZ191" s="6" t="n"/>
      <c r="CA191" s="6" t="n"/>
      <c r="CB191" s="6" t="n"/>
      <c r="CC191" s="6" t="n"/>
      <c r="CD191" s="6" t="n"/>
      <c r="CE191" s="6" t="n"/>
      <c r="CF191" s="6" t="n"/>
      <c r="CG191" s="6" t="n"/>
      <c r="CH191" s="6" t="n"/>
      <c r="CI191" s="6" t="n"/>
      <c r="CJ191" s="6" t="n"/>
      <c r="CK191" s="6" t="n"/>
      <c r="CL191" s="6" t="n"/>
      <c r="CM191" s="6" t="n"/>
      <c r="CN191" s="6" t="n"/>
      <c r="CO191" s="6" t="n"/>
      <c r="CP191" s="6" t="n"/>
      <c r="CQ191" s="6" t="n"/>
      <c r="CR191" s="6" t="n"/>
      <c r="CS191" s="6" t="n"/>
      <c r="CT191" s="6" t="n"/>
      <c r="CU191" s="6" t="n"/>
      <c r="CV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c r="AM192" s="6" t="n"/>
      <c r="AN192" s="6" t="n"/>
      <c r="AO192" s="6" t="n"/>
      <c r="AP192" s="6" t="n"/>
      <c r="AQ192" s="6" t="n"/>
      <c r="AR192" s="6" t="n"/>
      <c r="AS192" s="6" t="n"/>
      <c r="AT192" s="6" t="n"/>
      <c r="AU192" s="6" t="n"/>
      <c r="AV192" s="6" t="n"/>
      <c r="AW192" s="6" t="n"/>
      <c r="AX192" s="6" t="n"/>
      <c r="AY192" s="6" t="n"/>
      <c r="AZ192" s="6" t="n"/>
      <c r="BA192" s="6" t="n"/>
      <c r="BB192" s="6" t="n"/>
      <c r="BC192" s="6" t="n"/>
      <c r="BD192" s="6" t="n"/>
      <c r="BE192" s="6" t="n"/>
      <c r="BF192" s="6" t="n"/>
      <c r="BG192" s="6" t="n"/>
      <c r="BH192" s="6" t="n"/>
      <c r="BI192" s="6" t="n"/>
      <c r="BJ192" s="6" t="n"/>
      <c r="BK192" s="6" t="n"/>
      <c r="BL192" s="6" t="n"/>
      <c r="BM192" s="6" t="n"/>
      <c r="BN192" s="6" t="n"/>
      <c r="BO192" s="6" t="n"/>
      <c r="BP192" s="6" t="n"/>
      <c r="BQ192" s="6" t="n"/>
      <c r="BR192" s="6" t="n"/>
      <c r="BS192" s="6" t="n"/>
      <c r="BT192" s="6" t="n"/>
      <c r="BU192" s="6" t="n"/>
      <c r="BV192" s="6" t="n"/>
      <c r="BW192" s="6" t="n"/>
      <c r="BX192" s="6" t="n"/>
      <c r="BY192" s="6" t="n"/>
      <c r="BZ192" s="6" t="n"/>
      <c r="CA192" s="6" t="n"/>
      <c r="CB192" s="6" t="n"/>
      <c r="CC192" s="6" t="n"/>
      <c r="CD192" s="6" t="n"/>
      <c r="CE192" s="6" t="n"/>
      <c r="CF192" s="6" t="n"/>
      <c r="CG192" s="6" t="n"/>
      <c r="CH192" s="6" t="n"/>
      <c r="CI192" s="6" t="n"/>
      <c r="CJ192" s="6" t="n"/>
      <c r="CK192" s="6" t="n"/>
      <c r="CL192" s="6" t="n"/>
      <c r="CM192" s="6" t="n"/>
      <c r="CN192" s="6" t="n"/>
      <c r="CO192" s="6" t="n"/>
      <c r="CP192" s="6" t="n"/>
      <c r="CQ192" s="6" t="n"/>
      <c r="CR192" s="6" t="n"/>
      <c r="CS192" s="6" t="n"/>
      <c r="CT192" s="6" t="n"/>
      <c r="CU192" s="6" t="n"/>
      <c r="CV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c r="AM193" s="6" t="n"/>
      <c r="AN193" s="6" t="n"/>
      <c r="AO193" s="6" t="n"/>
      <c r="AP193" s="6" t="n"/>
      <c r="AQ193" s="6" t="n"/>
      <c r="AR193" s="6" t="n"/>
      <c r="AS193" s="6" t="n"/>
      <c r="AT193" s="6" t="n"/>
      <c r="AU193" s="6" t="n"/>
      <c r="AV193" s="6" t="n"/>
      <c r="AW193" s="6" t="n"/>
      <c r="AX193" s="6" t="n"/>
      <c r="AY193" s="6" t="n"/>
      <c r="AZ193" s="6" t="n"/>
      <c r="BA193" s="6" t="n"/>
      <c r="BB193" s="6" t="n"/>
      <c r="BC193" s="6" t="n"/>
      <c r="BD193" s="6" t="n"/>
      <c r="BE193" s="6" t="n"/>
      <c r="BF193" s="6" t="n"/>
      <c r="BG193" s="6" t="n"/>
      <c r="BH193" s="6" t="n"/>
      <c r="BI193" s="6" t="n"/>
      <c r="BJ193" s="6" t="n"/>
      <c r="BK193" s="6" t="n"/>
      <c r="BL193" s="6" t="n"/>
      <c r="BM193" s="6" t="n"/>
      <c r="BN193" s="6" t="n"/>
      <c r="BO193" s="6" t="n"/>
      <c r="BP193" s="6" t="n"/>
      <c r="BQ193" s="6" t="n"/>
      <c r="BR193" s="6" t="n"/>
      <c r="BS193" s="6" t="n"/>
      <c r="BT193" s="6" t="n"/>
      <c r="BU193" s="6" t="n"/>
      <c r="BV193" s="6" t="n"/>
      <c r="BW193" s="6" t="n"/>
      <c r="BX193" s="6" t="n"/>
      <c r="BY193" s="6" t="n"/>
      <c r="BZ193" s="6" t="n"/>
      <c r="CA193" s="6" t="n"/>
      <c r="CB193" s="6" t="n"/>
      <c r="CC193" s="6" t="n"/>
      <c r="CD193" s="6" t="n"/>
      <c r="CE193" s="6" t="n"/>
      <c r="CF193" s="6" t="n"/>
      <c r="CG193" s="6" t="n"/>
      <c r="CH193" s="6" t="n"/>
      <c r="CI193" s="6" t="n"/>
      <c r="CJ193" s="6" t="n"/>
      <c r="CK193" s="6" t="n"/>
      <c r="CL193" s="6" t="n"/>
      <c r="CM193" s="6" t="n"/>
      <c r="CN193" s="6" t="n"/>
      <c r="CO193" s="6" t="n"/>
      <c r="CP193" s="6" t="n"/>
      <c r="CQ193" s="6" t="n"/>
      <c r="CR193" s="6" t="n"/>
      <c r="CS193" s="6" t="n"/>
      <c r="CT193" s="6" t="n"/>
      <c r="CU193" s="6" t="n"/>
      <c r="CV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c r="AM194" s="6" t="n"/>
      <c r="AN194" s="6" t="n"/>
      <c r="AO194" s="6" t="n"/>
      <c r="AP194" s="6" t="n"/>
      <c r="AQ194" s="6" t="n"/>
      <c r="AR194" s="6" t="n"/>
      <c r="AS194" s="6" t="n"/>
      <c r="AT194" s="6" t="n"/>
      <c r="AU194" s="6" t="n"/>
      <c r="AV194" s="6" t="n"/>
      <c r="AW194" s="6" t="n"/>
      <c r="AX194" s="6" t="n"/>
      <c r="AY194" s="6" t="n"/>
      <c r="AZ194" s="6" t="n"/>
      <c r="BA194" s="6" t="n"/>
      <c r="BB194" s="6" t="n"/>
      <c r="BC194" s="6" t="n"/>
      <c r="BD194" s="6" t="n"/>
      <c r="BE194" s="6" t="n"/>
      <c r="BF194" s="6" t="n"/>
      <c r="BG194" s="6" t="n"/>
      <c r="BH194" s="6" t="n"/>
      <c r="BI194" s="6" t="n"/>
      <c r="BJ194" s="6" t="n"/>
      <c r="BK194" s="6" t="n"/>
      <c r="BL194" s="6" t="n"/>
      <c r="BM194" s="6" t="n"/>
      <c r="BN194" s="6" t="n"/>
      <c r="BO194" s="6" t="n"/>
      <c r="BP194" s="6" t="n"/>
      <c r="BQ194" s="6" t="n"/>
      <c r="BR194" s="6" t="n"/>
      <c r="BS194" s="6" t="n"/>
      <c r="BT194" s="6" t="n"/>
      <c r="BU194" s="6" t="n"/>
      <c r="BV194" s="6" t="n"/>
      <c r="BW194" s="6" t="n"/>
      <c r="BX194" s="6" t="n"/>
      <c r="BY194" s="6" t="n"/>
      <c r="BZ194" s="6" t="n"/>
      <c r="CA194" s="6" t="n"/>
      <c r="CB194" s="6" t="n"/>
      <c r="CC194" s="6" t="n"/>
      <c r="CD194" s="6" t="n"/>
      <c r="CE194" s="6" t="n"/>
      <c r="CF194" s="6" t="n"/>
      <c r="CG194" s="6" t="n"/>
      <c r="CH194" s="6" t="n"/>
      <c r="CI194" s="6" t="n"/>
      <c r="CJ194" s="6" t="n"/>
      <c r="CK194" s="6" t="n"/>
      <c r="CL194" s="6" t="n"/>
      <c r="CM194" s="6" t="n"/>
      <c r="CN194" s="6" t="n"/>
      <c r="CO194" s="6" t="n"/>
      <c r="CP194" s="6" t="n"/>
      <c r="CQ194" s="6" t="n"/>
      <c r="CR194" s="6" t="n"/>
      <c r="CS194" s="6" t="n"/>
      <c r="CT194" s="6" t="n"/>
      <c r="CU194" s="6" t="n"/>
      <c r="CV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c r="AM195" s="6" t="n"/>
      <c r="AN195" s="6" t="n"/>
      <c r="AO195" s="6" t="n"/>
      <c r="AP195" s="6" t="n"/>
      <c r="AQ195" s="6" t="n"/>
      <c r="AR195" s="6" t="n"/>
      <c r="AS195" s="6" t="n"/>
      <c r="AT195" s="6" t="n"/>
      <c r="AU195" s="6" t="n"/>
      <c r="AV195" s="6" t="n"/>
      <c r="AW195" s="6" t="n"/>
      <c r="AX195" s="6" t="n"/>
      <c r="AY195" s="6" t="n"/>
      <c r="AZ195" s="6" t="n"/>
      <c r="BA195" s="6" t="n"/>
      <c r="BB195" s="6" t="n"/>
      <c r="BC195" s="6" t="n"/>
      <c r="BD195" s="6" t="n"/>
      <c r="BE195" s="6" t="n"/>
      <c r="BF195" s="6" t="n"/>
      <c r="BG195" s="6" t="n"/>
      <c r="BH195" s="6" t="n"/>
      <c r="BI195" s="6" t="n"/>
      <c r="BJ195" s="6" t="n"/>
      <c r="BK195" s="6" t="n"/>
      <c r="BL195" s="6" t="n"/>
      <c r="BM195" s="6" t="n"/>
      <c r="BN195" s="6" t="n"/>
      <c r="BO195" s="6" t="n"/>
      <c r="BP195" s="6" t="n"/>
      <c r="BQ195" s="6" t="n"/>
      <c r="BR195" s="6" t="n"/>
      <c r="BS195" s="6" t="n"/>
      <c r="BT195" s="6" t="n"/>
      <c r="BU195" s="6" t="n"/>
      <c r="BV195" s="6" t="n"/>
      <c r="BW195" s="6" t="n"/>
      <c r="BX195" s="6" t="n"/>
      <c r="BY195" s="6" t="n"/>
      <c r="BZ195" s="6" t="n"/>
      <c r="CA195" s="6" t="n"/>
      <c r="CB195" s="6" t="n"/>
      <c r="CC195" s="6" t="n"/>
      <c r="CD195" s="6" t="n"/>
      <c r="CE195" s="6" t="n"/>
      <c r="CF195" s="6" t="n"/>
      <c r="CG195" s="6" t="n"/>
      <c r="CH195" s="6" t="n"/>
      <c r="CI195" s="6" t="n"/>
      <c r="CJ195" s="6" t="n"/>
      <c r="CK195" s="6" t="n"/>
      <c r="CL195" s="6" t="n"/>
      <c r="CM195" s="6" t="n"/>
      <c r="CN195" s="6" t="n"/>
      <c r="CO195" s="6" t="n"/>
      <c r="CP195" s="6" t="n"/>
      <c r="CQ195" s="6" t="n"/>
      <c r="CR195" s="6" t="n"/>
      <c r="CS195" s="6" t="n"/>
      <c r="CT195" s="6" t="n"/>
      <c r="CU195" s="6" t="n"/>
      <c r="CV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c r="AM196" s="6" t="n"/>
      <c r="AN196" s="6" t="n"/>
      <c r="AO196" s="6" t="n"/>
      <c r="AP196" s="6" t="n"/>
      <c r="AQ196" s="6" t="n"/>
      <c r="AR196" s="6" t="n"/>
      <c r="AS196" s="6" t="n"/>
      <c r="AT196" s="6" t="n"/>
      <c r="AU196" s="6" t="n"/>
      <c r="AV196" s="6" t="n"/>
      <c r="AW196" s="6" t="n"/>
      <c r="AX196" s="6" t="n"/>
      <c r="AY196" s="6" t="n"/>
      <c r="AZ196" s="6" t="n"/>
      <c r="BA196" s="6" t="n"/>
      <c r="BB196" s="6" t="n"/>
      <c r="BC196" s="6" t="n"/>
      <c r="BD196" s="6" t="n"/>
      <c r="BE196" s="6" t="n"/>
      <c r="BF196" s="6" t="n"/>
      <c r="BG196" s="6" t="n"/>
      <c r="BH196" s="6" t="n"/>
      <c r="BI196" s="6" t="n"/>
      <c r="BJ196" s="6" t="n"/>
      <c r="BK196" s="6" t="n"/>
      <c r="BL196" s="6" t="n"/>
      <c r="BM196" s="6" t="n"/>
      <c r="BN196" s="6" t="n"/>
      <c r="BO196" s="6" t="n"/>
      <c r="BP196" s="6" t="n"/>
      <c r="BQ196" s="6" t="n"/>
      <c r="BR196" s="6" t="n"/>
      <c r="BS196" s="6" t="n"/>
      <c r="BT196" s="6" t="n"/>
      <c r="BU196" s="6" t="n"/>
      <c r="BV196" s="6" t="n"/>
      <c r="BW196" s="6" t="n"/>
      <c r="BX196" s="6" t="n"/>
      <c r="BY196" s="6" t="n"/>
      <c r="BZ196" s="6" t="n"/>
      <c r="CA196" s="6" t="n"/>
      <c r="CB196" s="6" t="n"/>
      <c r="CC196" s="6" t="n"/>
      <c r="CD196" s="6" t="n"/>
      <c r="CE196" s="6" t="n"/>
      <c r="CF196" s="6" t="n"/>
      <c r="CG196" s="6" t="n"/>
      <c r="CH196" s="6" t="n"/>
      <c r="CI196" s="6" t="n"/>
      <c r="CJ196" s="6" t="n"/>
      <c r="CK196" s="6" t="n"/>
      <c r="CL196" s="6" t="n"/>
      <c r="CM196" s="6" t="n"/>
      <c r="CN196" s="6" t="n"/>
      <c r="CO196" s="6" t="n"/>
      <c r="CP196" s="6" t="n"/>
      <c r="CQ196" s="6" t="n"/>
      <c r="CR196" s="6" t="n"/>
      <c r="CS196" s="6" t="n"/>
      <c r="CT196" s="6" t="n"/>
      <c r="CU196" s="6" t="n"/>
      <c r="CV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c r="AM197" s="6" t="n"/>
      <c r="AN197" s="6" t="n"/>
      <c r="AO197" s="6" t="n"/>
      <c r="AP197" s="6" t="n"/>
      <c r="AQ197" s="6" t="n"/>
      <c r="AR197" s="6" t="n"/>
      <c r="AS197" s="6" t="n"/>
      <c r="AT197" s="6" t="n"/>
      <c r="AU197" s="6" t="n"/>
      <c r="AV197" s="6" t="n"/>
      <c r="AW197" s="6" t="n"/>
      <c r="AX197" s="6" t="n"/>
      <c r="AY197" s="6" t="n"/>
      <c r="AZ197" s="6" t="n"/>
      <c r="BA197" s="6" t="n"/>
      <c r="BB197" s="6" t="n"/>
      <c r="BC197" s="6" t="n"/>
      <c r="BD197" s="6" t="n"/>
      <c r="BE197" s="6" t="n"/>
      <c r="BF197" s="6" t="n"/>
      <c r="BG197" s="6" t="n"/>
      <c r="BH197" s="6" t="n"/>
      <c r="BI197" s="6" t="n"/>
      <c r="BJ197" s="6" t="n"/>
      <c r="BK197" s="6" t="n"/>
      <c r="BL197" s="6" t="n"/>
      <c r="BM197" s="6" t="n"/>
      <c r="BN197" s="6" t="n"/>
      <c r="BO197" s="6" t="n"/>
      <c r="BP197" s="6" t="n"/>
      <c r="BQ197" s="6" t="n"/>
      <c r="BR197" s="6" t="n"/>
      <c r="BS197" s="6" t="n"/>
      <c r="BT197" s="6" t="n"/>
      <c r="BU197" s="6" t="n"/>
      <c r="BV197" s="6" t="n"/>
      <c r="BW197" s="6" t="n"/>
      <c r="BX197" s="6" t="n"/>
      <c r="BY197" s="6" t="n"/>
      <c r="BZ197" s="6" t="n"/>
      <c r="CA197" s="6" t="n"/>
      <c r="CB197" s="6" t="n"/>
      <c r="CC197" s="6" t="n"/>
      <c r="CD197" s="6" t="n"/>
      <c r="CE197" s="6" t="n"/>
      <c r="CF197" s="6" t="n"/>
      <c r="CG197" s="6" t="n"/>
      <c r="CH197" s="6" t="n"/>
      <c r="CI197" s="6" t="n"/>
      <c r="CJ197" s="6" t="n"/>
      <c r="CK197" s="6" t="n"/>
      <c r="CL197" s="6" t="n"/>
      <c r="CM197" s="6" t="n"/>
      <c r="CN197" s="6" t="n"/>
      <c r="CO197" s="6" t="n"/>
      <c r="CP197" s="6" t="n"/>
      <c r="CQ197" s="6" t="n"/>
      <c r="CR197" s="6" t="n"/>
      <c r="CS197" s="6" t="n"/>
      <c r="CT197" s="6" t="n"/>
      <c r="CU197" s="6" t="n"/>
      <c r="CV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c r="AM198" s="6" t="n"/>
      <c r="AN198" s="6" t="n"/>
      <c r="AO198" s="6" t="n"/>
      <c r="AP198" s="6" t="n"/>
      <c r="AQ198" s="6" t="n"/>
      <c r="AR198" s="6" t="n"/>
      <c r="AS198" s="6" t="n"/>
      <c r="AT198" s="6" t="n"/>
      <c r="AU198" s="6" t="n"/>
      <c r="AV198" s="6" t="n"/>
      <c r="AW198" s="6" t="n"/>
      <c r="AX198" s="6" t="n"/>
      <c r="AY198" s="6" t="n"/>
      <c r="AZ198" s="6" t="n"/>
      <c r="BA198" s="6" t="n"/>
      <c r="BB198" s="6" t="n"/>
      <c r="BC198" s="6" t="n"/>
      <c r="BD198" s="6" t="n"/>
      <c r="BE198" s="6" t="n"/>
      <c r="BF198" s="6" t="n"/>
      <c r="BG198" s="6" t="n"/>
      <c r="BH198" s="6" t="n"/>
      <c r="BI198" s="6" t="n"/>
      <c r="BJ198" s="6" t="n"/>
      <c r="BK198" s="6" t="n"/>
      <c r="BL198" s="6" t="n"/>
      <c r="BM198" s="6" t="n"/>
      <c r="BN198" s="6" t="n"/>
      <c r="BO198" s="6" t="n"/>
      <c r="BP198" s="6" t="n"/>
      <c r="BQ198" s="6" t="n"/>
      <c r="BR198" s="6" t="n"/>
      <c r="BS198" s="6" t="n"/>
      <c r="BT198" s="6" t="n"/>
      <c r="BU198" s="6" t="n"/>
      <c r="BV198" s="6" t="n"/>
      <c r="BW198" s="6" t="n"/>
      <c r="BX198" s="6" t="n"/>
      <c r="BY198" s="6" t="n"/>
      <c r="BZ198" s="6" t="n"/>
      <c r="CA198" s="6" t="n"/>
      <c r="CB198" s="6" t="n"/>
      <c r="CC198" s="6" t="n"/>
      <c r="CD198" s="6" t="n"/>
      <c r="CE198" s="6" t="n"/>
      <c r="CF198" s="6" t="n"/>
      <c r="CG198" s="6" t="n"/>
      <c r="CH198" s="6" t="n"/>
      <c r="CI198" s="6" t="n"/>
      <c r="CJ198" s="6" t="n"/>
      <c r="CK198" s="6" t="n"/>
      <c r="CL198" s="6" t="n"/>
      <c r="CM198" s="6" t="n"/>
      <c r="CN198" s="6" t="n"/>
      <c r="CO198" s="6" t="n"/>
      <c r="CP198" s="6" t="n"/>
      <c r="CQ198" s="6" t="n"/>
      <c r="CR198" s="6" t="n"/>
      <c r="CS198" s="6" t="n"/>
      <c r="CT198" s="6" t="n"/>
      <c r="CU198" s="6" t="n"/>
      <c r="CV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n"/>
      <c r="BC199" s="6" t="n"/>
      <c r="BD199" s="6" t="n"/>
      <c r="BE199" s="6" t="n"/>
      <c r="BF199" s="6" t="n"/>
      <c r="BG199" s="6" t="n"/>
      <c r="BH199" s="6" t="n"/>
      <c r="BI199" s="6" t="n"/>
      <c r="BJ199" s="6" t="n"/>
      <c r="BK199" s="6" t="n"/>
      <c r="BL199" s="6" t="n"/>
      <c r="BM199" s="6" t="n"/>
      <c r="BN199" s="6" t="n"/>
      <c r="BO199" s="6" t="n"/>
      <c r="BP199" s="6" t="n"/>
      <c r="BQ199" s="6" t="n"/>
      <c r="BR199" s="6" t="n"/>
      <c r="BS199" s="6" t="n"/>
      <c r="BT199" s="6" t="n"/>
      <c r="BU199" s="6" t="n"/>
      <c r="BV199" s="6" t="n"/>
      <c r="BW199" s="6" t="n"/>
      <c r="BX199" s="6" t="n"/>
      <c r="BY199" s="6" t="n"/>
      <c r="BZ199" s="6" t="n"/>
      <c r="CA199" s="6" t="n"/>
      <c r="CB199" s="6" t="n"/>
      <c r="CC199" s="6" t="n"/>
      <c r="CD199" s="6" t="n"/>
      <c r="CE199" s="6" t="n"/>
      <c r="CF199" s="6" t="n"/>
      <c r="CG199" s="6" t="n"/>
      <c r="CH199" s="6" t="n"/>
      <c r="CI199" s="6" t="n"/>
      <c r="CJ199" s="6" t="n"/>
      <c r="CK199" s="6" t="n"/>
      <c r="CL199" s="6" t="n"/>
      <c r="CM199" s="6" t="n"/>
      <c r="CN199" s="6" t="n"/>
      <c r="CO199" s="6" t="n"/>
      <c r="CP199" s="6" t="n"/>
      <c r="CQ199" s="6" t="n"/>
      <c r="CR199" s="6" t="n"/>
      <c r="CS199" s="6" t="n"/>
      <c r="CT199" s="6" t="n"/>
      <c r="CU199" s="6" t="n"/>
      <c r="CV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c r="AM200" s="6" t="n"/>
      <c r="AN200" s="6" t="n"/>
      <c r="AO200" s="6" t="n"/>
      <c r="AP200" s="6" t="n"/>
      <c r="AQ200" s="6" t="n"/>
      <c r="AR200" s="6" t="n"/>
      <c r="AS200" s="6" t="n"/>
      <c r="AT200" s="6" t="n"/>
      <c r="AU200" s="6" t="n"/>
      <c r="AV200" s="6" t="n"/>
      <c r="AW200" s="6" t="n"/>
      <c r="AX200" s="6" t="n"/>
      <c r="AY200" s="6" t="n"/>
      <c r="AZ200" s="6" t="n"/>
      <c r="BA200" s="6" t="n"/>
      <c r="BB200" s="6" t="n"/>
      <c r="BC200" s="6" t="n"/>
      <c r="BD200" s="6" t="n"/>
      <c r="BE200" s="6" t="n"/>
      <c r="BF200" s="6" t="n"/>
      <c r="BG200" s="6" t="n"/>
      <c r="BH200" s="6" t="n"/>
      <c r="BI200" s="6" t="n"/>
      <c r="BJ200" s="6" t="n"/>
      <c r="BK200" s="6" t="n"/>
      <c r="BL200" s="6" t="n"/>
      <c r="BM200" s="6" t="n"/>
      <c r="BN200" s="6" t="n"/>
      <c r="BO200" s="6" t="n"/>
      <c r="BP200" s="6" t="n"/>
      <c r="BQ200" s="6" t="n"/>
      <c r="BR200" s="6" t="n"/>
      <c r="BS200" s="6" t="n"/>
      <c r="BT200" s="6" t="n"/>
      <c r="BU200" s="6" t="n"/>
      <c r="BV200" s="6" t="n"/>
      <c r="BW200" s="6" t="n"/>
      <c r="BX200" s="6" t="n"/>
      <c r="BY200" s="6" t="n"/>
      <c r="BZ200" s="6" t="n"/>
      <c r="CA200" s="6" t="n"/>
      <c r="CB200" s="6" t="n"/>
      <c r="CC200" s="6" t="n"/>
      <c r="CD200" s="6" t="n"/>
      <c r="CE200" s="6" t="n"/>
      <c r="CF200" s="6" t="n"/>
      <c r="CG200" s="6" t="n"/>
      <c r="CH200" s="6" t="n"/>
      <c r="CI200" s="6" t="n"/>
      <c r="CJ200" s="6" t="n"/>
      <c r="CK200" s="6" t="n"/>
      <c r="CL200" s="6" t="n"/>
      <c r="CM200" s="6" t="n"/>
      <c r="CN200" s="6" t="n"/>
      <c r="CO200" s="6" t="n"/>
      <c r="CP200" s="6" t="n"/>
      <c r="CQ200" s="6" t="n"/>
      <c r="CR200" s="6" t="n"/>
      <c r="CS200" s="6" t="n"/>
      <c r="CT200" s="6" t="n"/>
      <c r="CU200" s="6" t="n"/>
      <c r="CV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c r="AM201" s="6" t="n"/>
      <c r="AN201" s="6" t="n"/>
      <c r="AO201" s="6" t="n"/>
      <c r="AP201" s="6" t="n"/>
      <c r="AQ201" s="6" t="n"/>
      <c r="AR201" s="6" t="n"/>
      <c r="AS201" s="6" t="n"/>
      <c r="AT201" s="6" t="n"/>
      <c r="AU201" s="6" t="n"/>
      <c r="AV201" s="6" t="n"/>
      <c r="AW201" s="6" t="n"/>
      <c r="AX201" s="6" t="n"/>
      <c r="AY201" s="6" t="n"/>
      <c r="AZ201" s="6" t="n"/>
      <c r="BA201" s="6" t="n"/>
      <c r="BB201" s="6" t="n"/>
      <c r="BC201" s="6" t="n"/>
      <c r="BD201" s="6" t="n"/>
      <c r="BE201" s="6" t="n"/>
      <c r="BF201" s="6" t="n"/>
      <c r="BG201" s="6" t="n"/>
      <c r="BH201" s="6" t="n"/>
      <c r="BI201" s="6" t="n"/>
      <c r="BJ201" s="6" t="n"/>
      <c r="BK201" s="6" t="n"/>
      <c r="BL201" s="6" t="n"/>
      <c r="BM201" s="6" t="n"/>
      <c r="BN201" s="6" t="n"/>
      <c r="BO201" s="6" t="n"/>
      <c r="BP201" s="6" t="n"/>
      <c r="BQ201" s="6" t="n"/>
      <c r="BR201" s="6" t="n"/>
      <c r="BS201" s="6" t="n"/>
      <c r="BT201" s="6" t="n"/>
      <c r="BU201" s="6" t="n"/>
      <c r="BV201" s="6" t="n"/>
      <c r="BW201" s="6" t="n"/>
      <c r="BX201" s="6" t="n"/>
      <c r="BY201" s="6" t="n"/>
      <c r="BZ201" s="6" t="n"/>
      <c r="CA201" s="6" t="n"/>
      <c r="CB201" s="6" t="n"/>
      <c r="CC201" s="6" t="n"/>
      <c r="CD201" s="6" t="n"/>
      <c r="CE201" s="6" t="n"/>
      <c r="CF201" s="6" t="n"/>
      <c r="CG201" s="6" t="n"/>
      <c r="CH201" s="6" t="n"/>
      <c r="CI201" s="6" t="n"/>
      <c r="CJ201" s="6" t="n"/>
      <c r="CK201" s="6" t="n"/>
      <c r="CL201" s="6" t="n"/>
      <c r="CM201" s="6" t="n"/>
      <c r="CN201" s="6" t="n"/>
      <c r="CO201" s="6" t="n"/>
      <c r="CP201" s="6" t="n"/>
      <c r="CQ201" s="6" t="n"/>
      <c r="CR201" s="6" t="n"/>
      <c r="CS201" s="6" t="n"/>
      <c r="CT201" s="6" t="n"/>
      <c r="CU201" s="6" t="n"/>
      <c r="CV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c r="AM202" s="6" t="n"/>
      <c r="AN202" s="6" t="n"/>
      <c r="AO202" s="6" t="n"/>
      <c r="AP202" s="6" t="n"/>
      <c r="AQ202" s="6" t="n"/>
      <c r="AR202" s="6" t="n"/>
      <c r="AS202" s="6" t="n"/>
      <c r="AT202" s="6" t="n"/>
      <c r="AU202" s="6" t="n"/>
      <c r="AV202" s="6" t="n"/>
      <c r="AW202" s="6" t="n"/>
      <c r="AX202" s="6" t="n"/>
      <c r="AY202" s="6" t="n"/>
      <c r="AZ202" s="6" t="n"/>
      <c r="BA202" s="6" t="n"/>
      <c r="BB202" s="6" t="n"/>
      <c r="BC202" s="6" t="n"/>
      <c r="BD202" s="6" t="n"/>
      <c r="BE202" s="6" t="n"/>
      <c r="BF202" s="6" t="n"/>
      <c r="BG202" s="6" t="n"/>
      <c r="BH202" s="6" t="n"/>
      <c r="BI202" s="6" t="n"/>
      <c r="BJ202" s="6" t="n"/>
      <c r="BK202" s="6" t="n"/>
      <c r="BL202" s="6" t="n"/>
      <c r="BM202" s="6" t="n"/>
      <c r="BN202" s="6" t="n"/>
      <c r="BO202" s="6" t="n"/>
      <c r="BP202" s="6" t="n"/>
      <c r="BQ202" s="6" t="n"/>
      <c r="BR202" s="6" t="n"/>
      <c r="BS202" s="6" t="n"/>
      <c r="BT202" s="6" t="n"/>
      <c r="BU202" s="6" t="n"/>
      <c r="BV202" s="6" t="n"/>
      <c r="BW202" s="6" t="n"/>
      <c r="BX202" s="6" t="n"/>
      <c r="BY202" s="6" t="n"/>
      <c r="BZ202" s="6" t="n"/>
      <c r="CA202" s="6" t="n"/>
      <c r="CB202" s="6" t="n"/>
      <c r="CC202" s="6" t="n"/>
      <c r="CD202" s="6" t="n"/>
      <c r="CE202" s="6" t="n"/>
      <c r="CF202" s="6" t="n"/>
      <c r="CG202" s="6" t="n"/>
      <c r="CH202" s="6" t="n"/>
      <c r="CI202" s="6" t="n"/>
      <c r="CJ202" s="6" t="n"/>
      <c r="CK202" s="6" t="n"/>
      <c r="CL202" s="6" t="n"/>
      <c r="CM202" s="6" t="n"/>
      <c r="CN202" s="6" t="n"/>
      <c r="CO202" s="6" t="n"/>
      <c r="CP202" s="6" t="n"/>
      <c r="CQ202" s="6" t="n"/>
      <c r="CR202" s="6" t="n"/>
      <c r="CS202" s="6" t="n"/>
      <c r="CT202" s="6" t="n"/>
      <c r="CU202" s="6" t="n"/>
      <c r="CV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n"/>
      <c r="BD203" s="6" t="n"/>
      <c r="BE203" s="6" t="n"/>
      <c r="BF203" s="6" t="n"/>
      <c r="BG203" s="6" t="n"/>
      <c r="BH203" s="6" t="n"/>
      <c r="BI203" s="6" t="n"/>
      <c r="BJ203" s="6" t="n"/>
      <c r="BK203" s="6" t="n"/>
      <c r="BL203" s="6" t="n"/>
      <c r="BM203" s="6" t="n"/>
      <c r="BN203" s="6" t="n"/>
      <c r="BO203" s="6" t="n"/>
      <c r="BP203" s="6" t="n"/>
      <c r="BQ203" s="6" t="n"/>
      <c r="BR203" s="6" t="n"/>
      <c r="BS203" s="6" t="n"/>
      <c r="BT203" s="6" t="n"/>
      <c r="BU203" s="6" t="n"/>
      <c r="BV203" s="6" t="n"/>
      <c r="BW203" s="6" t="n"/>
      <c r="BX203" s="6" t="n"/>
      <c r="BY203" s="6" t="n"/>
      <c r="BZ203" s="6" t="n"/>
      <c r="CA203" s="6" t="n"/>
      <c r="CB203" s="6" t="n"/>
      <c r="CC203" s="6" t="n"/>
      <c r="CD203" s="6" t="n"/>
      <c r="CE203" s="6" t="n"/>
      <c r="CF203" s="6" t="n"/>
      <c r="CG203" s="6" t="n"/>
      <c r="CH203" s="6" t="n"/>
      <c r="CI203" s="6" t="n"/>
      <c r="CJ203" s="6" t="n"/>
      <c r="CK203" s="6" t="n"/>
      <c r="CL203" s="6" t="n"/>
      <c r="CM203" s="6" t="n"/>
      <c r="CN203" s="6" t="n"/>
      <c r="CO203" s="6" t="n"/>
      <c r="CP203" s="6" t="n"/>
      <c r="CQ203" s="6" t="n"/>
      <c r="CR203" s="6" t="n"/>
      <c r="CS203" s="6" t="n"/>
      <c r="CT203" s="6" t="n"/>
      <c r="CU203" s="6" t="n"/>
      <c r="CV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n"/>
      <c r="BD204" s="6" t="n"/>
      <c r="BE204" s="6" t="n"/>
      <c r="BF204" s="6" t="n"/>
      <c r="BG204" s="6" t="n"/>
      <c r="BH204" s="6" t="n"/>
      <c r="BI204" s="6" t="n"/>
      <c r="BJ204" s="6" t="n"/>
      <c r="BK204" s="6" t="n"/>
      <c r="BL204" s="6" t="n"/>
      <c r="BM204" s="6" t="n"/>
      <c r="BN204" s="6" t="n"/>
      <c r="BO204" s="6" t="n"/>
      <c r="BP204" s="6" t="n"/>
      <c r="BQ204" s="6" t="n"/>
      <c r="BR204" s="6" t="n"/>
      <c r="BS204" s="6" t="n"/>
      <c r="BT204" s="6" t="n"/>
      <c r="BU204" s="6" t="n"/>
      <c r="BV204" s="6" t="n"/>
      <c r="BW204" s="6" t="n"/>
      <c r="BX204" s="6" t="n"/>
      <c r="BY204" s="6" t="n"/>
      <c r="BZ204" s="6" t="n"/>
      <c r="CA204" s="6" t="n"/>
      <c r="CB204" s="6" t="n"/>
      <c r="CC204" s="6" t="n"/>
      <c r="CD204" s="6" t="n"/>
      <c r="CE204" s="6" t="n"/>
      <c r="CF204" s="6" t="n"/>
      <c r="CG204" s="6" t="n"/>
      <c r="CH204" s="6" t="n"/>
      <c r="CI204" s="6" t="n"/>
      <c r="CJ204" s="6" t="n"/>
      <c r="CK204" s="6" t="n"/>
      <c r="CL204" s="6" t="n"/>
      <c r="CM204" s="6" t="n"/>
      <c r="CN204" s="6" t="n"/>
      <c r="CO204" s="6" t="n"/>
      <c r="CP204" s="6" t="n"/>
      <c r="CQ204" s="6" t="n"/>
      <c r="CR204" s="6" t="n"/>
      <c r="CS204" s="6" t="n"/>
      <c r="CT204" s="6" t="n"/>
      <c r="CU204" s="6" t="n"/>
      <c r="CV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n"/>
      <c r="BD205" s="6" t="n"/>
      <c r="BE205" s="6" t="n"/>
      <c r="BF205" s="6" t="n"/>
      <c r="BG205" s="6" t="n"/>
      <c r="BH205" s="6" t="n"/>
      <c r="BI205" s="6" t="n"/>
      <c r="BJ205" s="6" t="n"/>
      <c r="BK205" s="6" t="n"/>
      <c r="BL205" s="6" t="n"/>
      <c r="BM205" s="6" t="n"/>
      <c r="BN205" s="6" t="n"/>
      <c r="BO205" s="6" t="n"/>
      <c r="BP205" s="6" t="n"/>
      <c r="BQ205" s="6" t="n"/>
      <c r="BR205" s="6" t="n"/>
      <c r="BS205" s="6" t="n"/>
      <c r="BT205" s="6" t="n"/>
      <c r="BU205" s="6" t="n"/>
      <c r="BV205" s="6" t="n"/>
      <c r="BW205" s="6" t="n"/>
      <c r="BX205" s="6" t="n"/>
      <c r="BY205" s="6" t="n"/>
      <c r="BZ205" s="6" t="n"/>
      <c r="CA205" s="6" t="n"/>
      <c r="CB205" s="6" t="n"/>
      <c r="CC205" s="6" t="n"/>
      <c r="CD205" s="6" t="n"/>
      <c r="CE205" s="6" t="n"/>
      <c r="CF205" s="6" t="n"/>
      <c r="CG205" s="6" t="n"/>
      <c r="CH205" s="6" t="n"/>
      <c r="CI205" s="6" t="n"/>
      <c r="CJ205" s="6" t="n"/>
      <c r="CK205" s="6" t="n"/>
      <c r="CL205" s="6" t="n"/>
      <c r="CM205" s="6" t="n"/>
      <c r="CN205" s="6" t="n"/>
      <c r="CO205" s="6" t="n"/>
      <c r="CP205" s="6" t="n"/>
      <c r="CQ205" s="6" t="n"/>
      <c r="CR205" s="6" t="n"/>
      <c r="CS205" s="6" t="n"/>
      <c r="CT205" s="6" t="n"/>
      <c r="CU205" s="6" t="n"/>
      <c r="CV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n"/>
      <c r="BD206" s="6" t="n"/>
      <c r="BE206" s="6" t="n"/>
      <c r="BF206" s="6" t="n"/>
      <c r="BG206" s="6" t="n"/>
      <c r="BH206" s="6" t="n"/>
      <c r="BI206" s="6" t="n"/>
      <c r="BJ206" s="6" t="n"/>
      <c r="BK206" s="6" t="n"/>
      <c r="BL206" s="6" t="n"/>
      <c r="BM206" s="6" t="n"/>
      <c r="BN206" s="6" t="n"/>
      <c r="BO206" s="6" t="n"/>
      <c r="BP206" s="6" t="n"/>
      <c r="BQ206" s="6" t="n"/>
      <c r="BR206" s="6" t="n"/>
      <c r="BS206" s="6" t="n"/>
      <c r="BT206" s="6" t="n"/>
      <c r="BU206" s="6" t="n"/>
      <c r="BV206" s="6" t="n"/>
      <c r="BW206" s="6" t="n"/>
      <c r="BX206" s="6" t="n"/>
      <c r="BY206" s="6" t="n"/>
      <c r="BZ206" s="6" t="n"/>
      <c r="CA206" s="6" t="n"/>
      <c r="CB206" s="6" t="n"/>
      <c r="CC206" s="6" t="n"/>
      <c r="CD206" s="6" t="n"/>
      <c r="CE206" s="6" t="n"/>
      <c r="CF206" s="6" t="n"/>
      <c r="CG206" s="6" t="n"/>
      <c r="CH206" s="6" t="n"/>
      <c r="CI206" s="6" t="n"/>
      <c r="CJ206" s="6" t="n"/>
      <c r="CK206" s="6" t="n"/>
      <c r="CL206" s="6" t="n"/>
      <c r="CM206" s="6" t="n"/>
      <c r="CN206" s="6" t="n"/>
      <c r="CO206" s="6" t="n"/>
      <c r="CP206" s="6" t="n"/>
      <c r="CQ206" s="6" t="n"/>
      <c r="CR206" s="6" t="n"/>
      <c r="CS206" s="6" t="n"/>
      <c r="CT206" s="6" t="n"/>
      <c r="CU206" s="6" t="n"/>
      <c r="CV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n"/>
      <c r="BD207" s="6" t="n"/>
      <c r="BE207" s="6" t="n"/>
      <c r="BF207" s="6" t="n"/>
      <c r="BG207" s="6" t="n"/>
      <c r="BH207" s="6" t="n"/>
      <c r="BI207" s="6" t="n"/>
      <c r="BJ207" s="6" t="n"/>
      <c r="BK207" s="6" t="n"/>
      <c r="BL207" s="6" t="n"/>
      <c r="BM207" s="6" t="n"/>
      <c r="BN207" s="6" t="n"/>
      <c r="BO207" s="6" t="n"/>
      <c r="BP207" s="6" t="n"/>
      <c r="BQ207" s="6" t="n"/>
      <c r="BR207" s="6" t="n"/>
      <c r="BS207" s="6" t="n"/>
      <c r="BT207" s="6" t="n"/>
      <c r="BU207" s="6" t="n"/>
      <c r="BV207" s="6" t="n"/>
      <c r="BW207" s="6" t="n"/>
      <c r="BX207" s="6" t="n"/>
      <c r="BY207" s="6" t="n"/>
      <c r="BZ207" s="6" t="n"/>
      <c r="CA207" s="6" t="n"/>
      <c r="CB207" s="6" t="n"/>
      <c r="CC207" s="6" t="n"/>
      <c r="CD207" s="6" t="n"/>
      <c r="CE207" s="6" t="n"/>
      <c r="CF207" s="6" t="n"/>
      <c r="CG207" s="6" t="n"/>
      <c r="CH207" s="6" t="n"/>
      <c r="CI207" s="6" t="n"/>
      <c r="CJ207" s="6" t="n"/>
      <c r="CK207" s="6" t="n"/>
      <c r="CL207" s="6" t="n"/>
      <c r="CM207" s="6" t="n"/>
      <c r="CN207" s="6" t="n"/>
      <c r="CO207" s="6" t="n"/>
      <c r="CP207" s="6" t="n"/>
      <c r="CQ207" s="6" t="n"/>
      <c r="CR207" s="6" t="n"/>
      <c r="CS207" s="6" t="n"/>
      <c r="CT207" s="6" t="n"/>
      <c r="CU207" s="6" t="n"/>
      <c r="CV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n"/>
      <c r="BD208" s="6" t="n"/>
      <c r="BE208" s="6" t="n"/>
      <c r="BF208" s="6" t="n"/>
      <c r="BG208" s="6" t="n"/>
      <c r="BH208" s="6" t="n"/>
      <c r="BI208" s="6" t="n"/>
      <c r="BJ208" s="6" t="n"/>
      <c r="BK208" s="6" t="n"/>
      <c r="BL208" s="6" t="n"/>
      <c r="BM208" s="6" t="n"/>
      <c r="BN208" s="6" t="n"/>
      <c r="BO208" s="6" t="n"/>
      <c r="BP208" s="6" t="n"/>
      <c r="BQ208" s="6" t="n"/>
      <c r="BR208" s="6" t="n"/>
      <c r="BS208" s="6" t="n"/>
      <c r="BT208" s="6" t="n"/>
      <c r="BU208" s="6" t="n"/>
      <c r="BV208" s="6" t="n"/>
      <c r="BW208" s="6" t="n"/>
      <c r="BX208" s="6" t="n"/>
      <c r="BY208" s="6" t="n"/>
      <c r="BZ208" s="6" t="n"/>
      <c r="CA208" s="6" t="n"/>
      <c r="CB208" s="6" t="n"/>
      <c r="CC208" s="6" t="n"/>
      <c r="CD208" s="6" t="n"/>
      <c r="CE208" s="6" t="n"/>
      <c r="CF208" s="6" t="n"/>
      <c r="CG208" s="6" t="n"/>
      <c r="CH208" s="6" t="n"/>
      <c r="CI208" s="6" t="n"/>
      <c r="CJ208" s="6" t="n"/>
      <c r="CK208" s="6" t="n"/>
      <c r="CL208" s="6" t="n"/>
      <c r="CM208" s="6" t="n"/>
      <c r="CN208" s="6" t="n"/>
      <c r="CO208" s="6" t="n"/>
      <c r="CP208" s="6" t="n"/>
      <c r="CQ208" s="6" t="n"/>
      <c r="CR208" s="6" t="n"/>
      <c r="CS208" s="6" t="n"/>
      <c r="CT208" s="6" t="n"/>
      <c r="CU208" s="6" t="n"/>
      <c r="CV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n"/>
      <c r="BD209" s="6" t="n"/>
      <c r="BE209" s="6" t="n"/>
      <c r="BF209" s="6" t="n"/>
      <c r="BG209" s="6" t="n"/>
      <c r="BH209" s="6" t="n"/>
      <c r="BI209" s="6" t="n"/>
      <c r="BJ209" s="6" t="n"/>
      <c r="BK209" s="6" t="n"/>
      <c r="BL209" s="6" t="n"/>
      <c r="BM209" s="6" t="n"/>
      <c r="BN209" s="6" t="n"/>
      <c r="BO209" s="6" t="n"/>
      <c r="BP209" s="6" t="n"/>
      <c r="BQ209" s="6" t="n"/>
      <c r="BR209" s="6" t="n"/>
      <c r="BS209" s="6" t="n"/>
      <c r="BT209" s="6" t="n"/>
      <c r="BU209" s="6" t="n"/>
      <c r="BV209" s="6" t="n"/>
      <c r="BW209" s="6" t="n"/>
      <c r="BX209" s="6" t="n"/>
      <c r="BY209" s="6" t="n"/>
      <c r="BZ209" s="6" t="n"/>
      <c r="CA209" s="6" t="n"/>
      <c r="CB209" s="6" t="n"/>
      <c r="CC209" s="6" t="n"/>
      <c r="CD209" s="6" t="n"/>
      <c r="CE209" s="6" t="n"/>
      <c r="CF209" s="6" t="n"/>
      <c r="CG209" s="6" t="n"/>
      <c r="CH209" s="6" t="n"/>
      <c r="CI209" s="6" t="n"/>
      <c r="CJ209" s="6" t="n"/>
      <c r="CK209" s="6" t="n"/>
      <c r="CL209" s="6" t="n"/>
      <c r="CM209" s="6" t="n"/>
      <c r="CN209" s="6" t="n"/>
      <c r="CO209" s="6" t="n"/>
      <c r="CP209" s="6" t="n"/>
      <c r="CQ209" s="6" t="n"/>
      <c r="CR209" s="6" t="n"/>
      <c r="CS209" s="6" t="n"/>
      <c r="CT209" s="6" t="n"/>
      <c r="CU209" s="6" t="n"/>
      <c r="CV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n"/>
      <c r="BD210" s="6" t="n"/>
      <c r="BE210" s="6" t="n"/>
      <c r="BF210" s="6" t="n"/>
      <c r="BG210" s="6" t="n"/>
      <c r="BH210" s="6" t="n"/>
      <c r="BI210" s="6" t="n"/>
      <c r="BJ210" s="6" t="n"/>
      <c r="BK210" s="6" t="n"/>
      <c r="BL210" s="6" t="n"/>
      <c r="BM210" s="6" t="n"/>
      <c r="BN210" s="6" t="n"/>
      <c r="BO210" s="6" t="n"/>
      <c r="BP210" s="6" t="n"/>
      <c r="BQ210" s="6" t="n"/>
      <c r="BR210" s="6" t="n"/>
      <c r="BS210" s="6" t="n"/>
      <c r="BT210" s="6" t="n"/>
      <c r="BU210" s="6" t="n"/>
      <c r="BV210" s="6" t="n"/>
      <c r="BW210" s="6" t="n"/>
      <c r="BX210" s="6" t="n"/>
      <c r="BY210" s="6" t="n"/>
      <c r="BZ210" s="6" t="n"/>
      <c r="CA210" s="6" t="n"/>
      <c r="CB210" s="6" t="n"/>
      <c r="CC210" s="6" t="n"/>
      <c r="CD210" s="6" t="n"/>
      <c r="CE210" s="6" t="n"/>
      <c r="CF210" s="6" t="n"/>
      <c r="CG210" s="6" t="n"/>
      <c r="CH210" s="6" t="n"/>
      <c r="CI210" s="6" t="n"/>
      <c r="CJ210" s="6" t="n"/>
      <c r="CK210" s="6" t="n"/>
      <c r="CL210" s="6" t="n"/>
      <c r="CM210" s="6" t="n"/>
      <c r="CN210" s="6" t="n"/>
      <c r="CO210" s="6" t="n"/>
      <c r="CP210" s="6" t="n"/>
      <c r="CQ210" s="6" t="n"/>
      <c r="CR210" s="6" t="n"/>
      <c r="CS210" s="6" t="n"/>
      <c r="CT210" s="6" t="n"/>
      <c r="CU210" s="6" t="n"/>
      <c r="CV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n"/>
      <c r="BD211" s="6" t="n"/>
      <c r="BE211" s="6" t="n"/>
      <c r="BF211" s="6" t="n"/>
      <c r="BG211" s="6" t="n"/>
      <c r="BH211" s="6" t="n"/>
      <c r="BI211" s="6" t="n"/>
      <c r="BJ211" s="6" t="n"/>
      <c r="BK211" s="6" t="n"/>
      <c r="BL211" s="6" t="n"/>
      <c r="BM211" s="6" t="n"/>
      <c r="BN211" s="6" t="n"/>
      <c r="BO211" s="6" t="n"/>
      <c r="BP211" s="6" t="n"/>
      <c r="BQ211" s="6" t="n"/>
      <c r="BR211" s="6" t="n"/>
      <c r="BS211" s="6" t="n"/>
      <c r="BT211" s="6" t="n"/>
      <c r="BU211" s="6" t="n"/>
      <c r="BV211" s="6" t="n"/>
      <c r="BW211" s="6" t="n"/>
      <c r="BX211" s="6" t="n"/>
      <c r="BY211" s="6" t="n"/>
      <c r="BZ211" s="6" t="n"/>
      <c r="CA211" s="6" t="n"/>
      <c r="CB211" s="6" t="n"/>
      <c r="CC211" s="6" t="n"/>
      <c r="CD211" s="6" t="n"/>
      <c r="CE211" s="6" t="n"/>
      <c r="CF211" s="6" t="n"/>
      <c r="CG211" s="6" t="n"/>
      <c r="CH211" s="6" t="n"/>
      <c r="CI211" s="6" t="n"/>
      <c r="CJ211" s="6" t="n"/>
      <c r="CK211" s="6" t="n"/>
      <c r="CL211" s="6" t="n"/>
      <c r="CM211" s="6" t="n"/>
      <c r="CN211" s="6" t="n"/>
      <c r="CO211" s="6" t="n"/>
      <c r="CP211" s="6" t="n"/>
      <c r="CQ211" s="6" t="n"/>
      <c r="CR211" s="6" t="n"/>
      <c r="CS211" s="6" t="n"/>
      <c r="CT211" s="6" t="n"/>
      <c r="CU211" s="6" t="n"/>
      <c r="CV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n"/>
      <c r="BD212" s="6" t="n"/>
      <c r="BE212" s="6" t="n"/>
      <c r="BF212" s="6" t="n"/>
      <c r="BG212" s="6" t="n"/>
      <c r="BH212" s="6" t="n"/>
      <c r="BI212" s="6" t="n"/>
      <c r="BJ212" s="6" t="n"/>
      <c r="BK212" s="6" t="n"/>
      <c r="BL212" s="6" t="n"/>
      <c r="BM212" s="6" t="n"/>
      <c r="BN212" s="6" t="n"/>
      <c r="BO212" s="6" t="n"/>
      <c r="BP212" s="6" t="n"/>
      <c r="BQ212" s="6" t="n"/>
      <c r="BR212" s="6" t="n"/>
      <c r="BS212" s="6" t="n"/>
      <c r="BT212" s="6" t="n"/>
      <c r="BU212" s="6" t="n"/>
      <c r="BV212" s="6" t="n"/>
      <c r="BW212" s="6" t="n"/>
      <c r="BX212" s="6" t="n"/>
      <c r="BY212" s="6" t="n"/>
      <c r="BZ212" s="6" t="n"/>
      <c r="CA212" s="6" t="n"/>
      <c r="CB212" s="6" t="n"/>
      <c r="CC212" s="6" t="n"/>
      <c r="CD212" s="6" t="n"/>
      <c r="CE212" s="6" t="n"/>
      <c r="CF212" s="6" t="n"/>
      <c r="CG212" s="6" t="n"/>
      <c r="CH212" s="6" t="n"/>
      <c r="CI212" s="6" t="n"/>
      <c r="CJ212" s="6" t="n"/>
      <c r="CK212" s="6" t="n"/>
      <c r="CL212" s="6" t="n"/>
      <c r="CM212" s="6" t="n"/>
      <c r="CN212" s="6" t="n"/>
      <c r="CO212" s="6" t="n"/>
      <c r="CP212" s="6" t="n"/>
      <c r="CQ212" s="6" t="n"/>
      <c r="CR212" s="6" t="n"/>
      <c r="CS212" s="6" t="n"/>
      <c r="CT212" s="6" t="n"/>
      <c r="CU212" s="6" t="n"/>
      <c r="CV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n"/>
      <c r="BD213" s="6" t="n"/>
      <c r="BE213" s="6" t="n"/>
      <c r="BF213" s="6" t="n"/>
      <c r="BG213" s="6" t="n"/>
      <c r="BH213" s="6" t="n"/>
      <c r="BI213" s="6" t="n"/>
      <c r="BJ213" s="6" t="n"/>
      <c r="BK213" s="6" t="n"/>
      <c r="BL213" s="6" t="n"/>
      <c r="BM213" s="6" t="n"/>
      <c r="BN213" s="6" t="n"/>
      <c r="BO213" s="6" t="n"/>
      <c r="BP213" s="6" t="n"/>
      <c r="BQ213" s="6" t="n"/>
      <c r="BR213" s="6" t="n"/>
      <c r="BS213" s="6" t="n"/>
      <c r="BT213" s="6" t="n"/>
      <c r="BU213" s="6" t="n"/>
      <c r="BV213" s="6" t="n"/>
      <c r="BW213" s="6" t="n"/>
      <c r="BX213" s="6" t="n"/>
      <c r="BY213" s="6" t="n"/>
      <c r="BZ213" s="6" t="n"/>
      <c r="CA213" s="6" t="n"/>
      <c r="CB213" s="6" t="n"/>
      <c r="CC213" s="6" t="n"/>
      <c r="CD213" s="6" t="n"/>
      <c r="CE213" s="6" t="n"/>
      <c r="CF213" s="6" t="n"/>
      <c r="CG213" s="6" t="n"/>
      <c r="CH213" s="6" t="n"/>
      <c r="CI213" s="6" t="n"/>
      <c r="CJ213" s="6" t="n"/>
      <c r="CK213" s="6" t="n"/>
      <c r="CL213" s="6" t="n"/>
      <c r="CM213" s="6" t="n"/>
      <c r="CN213" s="6" t="n"/>
      <c r="CO213" s="6" t="n"/>
      <c r="CP213" s="6" t="n"/>
      <c r="CQ213" s="6" t="n"/>
      <c r="CR213" s="6" t="n"/>
      <c r="CS213" s="6" t="n"/>
      <c r="CT213" s="6" t="n"/>
      <c r="CU213" s="6" t="n"/>
      <c r="CV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n"/>
      <c r="BD214" s="6" t="n"/>
      <c r="BE214" s="6" t="n"/>
      <c r="BF214" s="6" t="n"/>
      <c r="BG214" s="6" t="n"/>
      <c r="BH214" s="6" t="n"/>
      <c r="BI214" s="6" t="n"/>
      <c r="BJ214" s="6" t="n"/>
      <c r="BK214" s="6" t="n"/>
      <c r="BL214" s="6" t="n"/>
      <c r="BM214" s="6" t="n"/>
      <c r="BN214" s="6" t="n"/>
      <c r="BO214" s="6" t="n"/>
      <c r="BP214" s="6" t="n"/>
      <c r="BQ214" s="6" t="n"/>
      <c r="BR214" s="6" t="n"/>
      <c r="BS214" s="6" t="n"/>
      <c r="BT214" s="6" t="n"/>
      <c r="BU214" s="6" t="n"/>
      <c r="BV214" s="6" t="n"/>
      <c r="BW214" s="6" t="n"/>
      <c r="BX214" s="6" t="n"/>
      <c r="BY214" s="6" t="n"/>
      <c r="BZ214" s="6" t="n"/>
      <c r="CA214" s="6" t="n"/>
      <c r="CB214" s="6" t="n"/>
      <c r="CC214" s="6" t="n"/>
      <c r="CD214" s="6" t="n"/>
      <c r="CE214" s="6" t="n"/>
      <c r="CF214" s="6" t="n"/>
      <c r="CG214" s="6" t="n"/>
      <c r="CH214" s="6" t="n"/>
      <c r="CI214" s="6" t="n"/>
      <c r="CJ214" s="6" t="n"/>
      <c r="CK214" s="6" t="n"/>
      <c r="CL214" s="6" t="n"/>
      <c r="CM214" s="6" t="n"/>
      <c r="CN214" s="6" t="n"/>
      <c r="CO214" s="6" t="n"/>
      <c r="CP214" s="6" t="n"/>
      <c r="CQ214" s="6" t="n"/>
      <c r="CR214" s="6" t="n"/>
      <c r="CS214" s="6" t="n"/>
      <c r="CT214" s="6" t="n"/>
      <c r="CU214" s="6" t="n"/>
      <c r="CV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n"/>
      <c r="BD215" s="6" t="n"/>
      <c r="BE215" s="6" t="n"/>
      <c r="BF215" s="6" t="n"/>
      <c r="BG215" s="6" t="n"/>
      <c r="BH215" s="6" t="n"/>
      <c r="BI215" s="6" t="n"/>
      <c r="BJ215" s="6" t="n"/>
      <c r="BK215" s="6" t="n"/>
      <c r="BL215" s="6" t="n"/>
      <c r="BM215" s="6" t="n"/>
      <c r="BN215" s="6" t="n"/>
      <c r="BO215" s="6" t="n"/>
      <c r="BP215" s="6" t="n"/>
      <c r="BQ215" s="6" t="n"/>
      <c r="BR215" s="6" t="n"/>
      <c r="BS215" s="6" t="n"/>
      <c r="BT215" s="6" t="n"/>
      <c r="BU215" s="6" t="n"/>
      <c r="BV215" s="6" t="n"/>
      <c r="BW215" s="6" t="n"/>
      <c r="BX215" s="6" t="n"/>
      <c r="BY215" s="6" t="n"/>
      <c r="BZ215" s="6" t="n"/>
      <c r="CA215" s="6" t="n"/>
      <c r="CB215" s="6" t="n"/>
      <c r="CC215" s="6" t="n"/>
      <c r="CD215" s="6" t="n"/>
      <c r="CE215" s="6" t="n"/>
      <c r="CF215" s="6" t="n"/>
      <c r="CG215" s="6" t="n"/>
      <c r="CH215" s="6" t="n"/>
      <c r="CI215" s="6" t="n"/>
      <c r="CJ215" s="6" t="n"/>
      <c r="CK215" s="6" t="n"/>
      <c r="CL215" s="6" t="n"/>
      <c r="CM215" s="6" t="n"/>
      <c r="CN215" s="6" t="n"/>
      <c r="CO215" s="6" t="n"/>
      <c r="CP215" s="6" t="n"/>
      <c r="CQ215" s="6" t="n"/>
      <c r="CR215" s="6" t="n"/>
      <c r="CS215" s="6" t="n"/>
      <c r="CT215" s="6" t="n"/>
      <c r="CU215" s="6" t="n"/>
      <c r="CV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n"/>
      <c r="BD216" s="6" t="n"/>
      <c r="BE216" s="6" t="n"/>
      <c r="BF216" s="6" t="n"/>
      <c r="BG216" s="6" t="n"/>
      <c r="BH216" s="6" t="n"/>
      <c r="BI216" s="6" t="n"/>
      <c r="BJ216" s="6" t="n"/>
      <c r="BK216" s="6" t="n"/>
      <c r="BL216" s="6" t="n"/>
      <c r="BM216" s="6" t="n"/>
      <c r="BN216" s="6" t="n"/>
      <c r="BO216" s="6" t="n"/>
      <c r="BP216" s="6" t="n"/>
      <c r="BQ216" s="6" t="n"/>
      <c r="BR216" s="6" t="n"/>
      <c r="BS216" s="6" t="n"/>
      <c r="BT216" s="6" t="n"/>
      <c r="BU216" s="6" t="n"/>
      <c r="BV216" s="6" t="n"/>
      <c r="BW216" s="6" t="n"/>
      <c r="BX216" s="6" t="n"/>
      <c r="BY216" s="6" t="n"/>
      <c r="BZ216" s="6" t="n"/>
      <c r="CA216" s="6" t="n"/>
      <c r="CB216" s="6" t="n"/>
      <c r="CC216" s="6" t="n"/>
      <c r="CD216" s="6" t="n"/>
      <c r="CE216" s="6" t="n"/>
      <c r="CF216" s="6" t="n"/>
      <c r="CG216" s="6" t="n"/>
      <c r="CH216" s="6" t="n"/>
      <c r="CI216" s="6" t="n"/>
      <c r="CJ216" s="6" t="n"/>
      <c r="CK216" s="6" t="n"/>
      <c r="CL216" s="6" t="n"/>
      <c r="CM216" s="6" t="n"/>
      <c r="CN216" s="6" t="n"/>
      <c r="CO216" s="6" t="n"/>
      <c r="CP216" s="6" t="n"/>
      <c r="CQ216" s="6" t="n"/>
      <c r="CR216" s="6" t="n"/>
      <c r="CS216" s="6" t="n"/>
      <c r="CT216" s="6" t="n"/>
      <c r="CU216" s="6" t="n"/>
      <c r="CV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n"/>
      <c r="BD217" s="6" t="n"/>
      <c r="BE217" s="6" t="n"/>
      <c r="BF217" s="6" t="n"/>
      <c r="BG217" s="6" t="n"/>
      <c r="BH217" s="6" t="n"/>
      <c r="BI217" s="6" t="n"/>
      <c r="BJ217" s="6" t="n"/>
      <c r="BK217" s="6" t="n"/>
      <c r="BL217" s="6" t="n"/>
      <c r="BM217" s="6" t="n"/>
      <c r="BN217" s="6" t="n"/>
      <c r="BO217" s="6" t="n"/>
      <c r="BP217" s="6" t="n"/>
      <c r="BQ217" s="6" t="n"/>
      <c r="BR217" s="6" t="n"/>
      <c r="BS217" s="6" t="n"/>
      <c r="BT217" s="6" t="n"/>
      <c r="BU217" s="6" t="n"/>
      <c r="BV217" s="6" t="n"/>
      <c r="BW217" s="6" t="n"/>
      <c r="BX217" s="6" t="n"/>
      <c r="BY217" s="6" t="n"/>
      <c r="BZ217" s="6" t="n"/>
      <c r="CA217" s="6" t="n"/>
      <c r="CB217" s="6" t="n"/>
      <c r="CC217" s="6" t="n"/>
      <c r="CD217" s="6" t="n"/>
      <c r="CE217" s="6" t="n"/>
      <c r="CF217" s="6" t="n"/>
      <c r="CG217" s="6" t="n"/>
      <c r="CH217" s="6" t="n"/>
      <c r="CI217" s="6" t="n"/>
      <c r="CJ217" s="6" t="n"/>
      <c r="CK217" s="6" t="n"/>
      <c r="CL217" s="6" t="n"/>
      <c r="CM217" s="6" t="n"/>
      <c r="CN217" s="6" t="n"/>
      <c r="CO217" s="6" t="n"/>
      <c r="CP217" s="6" t="n"/>
      <c r="CQ217" s="6" t="n"/>
      <c r="CR217" s="6" t="n"/>
      <c r="CS217" s="6" t="n"/>
      <c r="CT217" s="6" t="n"/>
      <c r="CU217" s="6" t="n"/>
      <c r="CV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n"/>
      <c r="BD218" s="6" t="n"/>
      <c r="BE218" s="6" t="n"/>
      <c r="BF218" s="6" t="n"/>
      <c r="BG218" s="6" t="n"/>
      <c r="BH218" s="6" t="n"/>
      <c r="BI218" s="6" t="n"/>
      <c r="BJ218" s="6" t="n"/>
      <c r="BK218" s="6" t="n"/>
      <c r="BL218" s="6" t="n"/>
      <c r="BM218" s="6" t="n"/>
      <c r="BN218" s="6" t="n"/>
      <c r="BO218" s="6" t="n"/>
      <c r="BP218" s="6" t="n"/>
      <c r="BQ218" s="6" t="n"/>
      <c r="BR218" s="6" t="n"/>
      <c r="BS218" s="6" t="n"/>
      <c r="BT218" s="6" t="n"/>
      <c r="BU218" s="6" t="n"/>
      <c r="BV218" s="6" t="n"/>
      <c r="BW218" s="6" t="n"/>
      <c r="BX218" s="6" t="n"/>
      <c r="BY218" s="6" t="n"/>
      <c r="BZ218" s="6" t="n"/>
      <c r="CA218" s="6" t="n"/>
      <c r="CB218" s="6" t="n"/>
      <c r="CC218" s="6" t="n"/>
      <c r="CD218" s="6" t="n"/>
      <c r="CE218" s="6" t="n"/>
      <c r="CF218" s="6" t="n"/>
      <c r="CG218" s="6" t="n"/>
      <c r="CH218" s="6" t="n"/>
      <c r="CI218" s="6" t="n"/>
      <c r="CJ218" s="6" t="n"/>
      <c r="CK218" s="6" t="n"/>
      <c r="CL218" s="6" t="n"/>
      <c r="CM218" s="6" t="n"/>
      <c r="CN218" s="6" t="n"/>
      <c r="CO218" s="6" t="n"/>
      <c r="CP218" s="6" t="n"/>
      <c r="CQ218" s="6" t="n"/>
      <c r="CR218" s="6" t="n"/>
      <c r="CS218" s="6" t="n"/>
      <c r="CT218" s="6" t="n"/>
      <c r="CU218" s="6" t="n"/>
      <c r="CV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n"/>
      <c r="BD219" s="6" t="n"/>
      <c r="BE219" s="6" t="n"/>
      <c r="BF219" s="6" t="n"/>
      <c r="BG219" s="6" t="n"/>
      <c r="BH219" s="6" t="n"/>
      <c r="BI219" s="6" t="n"/>
      <c r="BJ219" s="6" t="n"/>
      <c r="BK219" s="6" t="n"/>
      <c r="BL219" s="6" t="n"/>
      <c r="BM219" s="6" t="n"/>
      <c r="BN219" s="6" t="n"/>
      <c r="BO219" s="6" t="n"/>
      <c r="BP219" s="6" t="n"/>
      <c r="BQ219" s="6" t="n"/>
      <c r="BR219" s="6" t="n"/>
      <c r="BS219" s="6" t="n"/>
      <c r="BT219" s="6" t="n"/>
      <c r="BU219" s="6" t="n"/>
      <c r="BV219" s="6" t="n"/>
      <c r="BW219" s="6" t="n"/>
      <c r="BX219" s="6" t="n"/>
      <c r="BY219" s="6" t="n"/>
      <c r="BZ219" s="6" t="n"/>
      <c r="CA219" s="6" t="n"/>
      <c r="CB219" s="6" t="n"/>
      <c r="CC219" s="6" t="n"/>
      <c r="CD219" s="6" t="n"/>
      <c r="CE219" s="6" t="n"/>
      <c r="CF219" s="6" t="n"/>
      <c r="CG219" s="6" t="n"/>
      <c r="CH219" s="6" t="n"/>
      <c r="CI219" s="6" t="n"/>
      <c r="CJ219" s="6" t="n"/>
      <c r="CK219" s="6" t="n"/>
      <c r="CL219" s="6" t="n"/>
      <c r="CM219" s="6" t="n"/>
      <c r="CN219" s="6" t="n"/>
      <c r="CO219" s="6" t="n"/>
      <c r="CP219" s="6" t="n"/>
      <c r="CQ219" s="6" t="n"/>
      <c r="CR219" s="6" t="n"/>
      <c r="CS219" s="6" t="n"/>
      <c r="CT219" s="6" t="n"/>
      <c r="CU219" s="6" t="n"/>
      <c r="CV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n"/>
      <c r="BD220" s="6" t="n"/>
      <c r="BE220" s="6" t="n"/>
      <c r="BF220" s="6" t="n"/>
      <c r="BG220" s="6" t="n"/>
      <c r="BH220" s="6" t="n"/>
      <c r="BI220" s="6" t="n"/>
      <c r="BJ220" s="6" t="n"/>
      <c r="BK220" s="6" t="n"/>
      <c r="BL220" s="6" t="n"/>
      <c r="BM220" s="6" t="n"/>
      <c r="BN220" s="6" t="n"/>
      <c r="BO220" s="6" t="n"/>
      <c r="BP220" s="6" t="n"/>
      <c r="BQ220" s="6" t="n"/>
      <c r="BR220" s="6" t="n"/>
      <c r="BS220" s="6" t="n"/>
      <c r="BT220" s="6" t="n"/>
      <c r="BU220" s="6" t="n"/>
      <c r="BV220" s="6" t="n"/>
      <c r="BW220" s="6" t="n"/>
      <c r="BX220" s="6" t="n"/>
      <c r="BY220" s="6" t="n"/>
      <c r="BZ220" s="6" t="n"/>
      <c r="CA220" s="6" t="n"/>
      <c r="CB220" s="6" t="n"/>
      <c r="CC220" s="6" t="n"/>
      <c r="CD220" s="6" t="n"/>
      <c r="CE220" s="6" t="n"/>
      <c r="CF220" s="6" t="n"/>
      <c r="CG220" s="6" t="n"/>
      <c r="CH220" s="6" t="n"/>
      <c r="CI220" s="6" t="n"/>
      <c r="CJ220" s="6" t="n"/>
      <c r="CK220" s="6" t="n"/>
      <c r="CL220" s="6" t="n"/>
      <c r="CM220" s="6" t="n"/>
      <c r="CN220" s="6" t="n"/>
      <c r="CO220" s="6" t="n"/>
      <c r="CP220" s="6" t="n"/>
      <c r="CQ220" s="6" t="n"/>
      <c r="CR220" s="6" t="n"/>
      <c r="CS220" s="6" t="n"/>
      <c r="CT220" s="6" t="n"/>
      <c r="CU220" s="6" t="n"/>
      <c r="CV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n"/>
      <c r="BD221" s="6" t="n"/>
      <c r="BE221" s="6" t="n"/>
      <c r="BF221" s="6" t="n"/>
      <c r="BG221" s="6" t="n"/>
      <c r="BH221" s="6" t="n"/>
      <c r="BI221" s="6" t="n"/>
      <c r="BJ221" s="6" t="n"/>
      <c r="BK221" s="6" t="n"/>
      <c r="BL221" s="6" t="n"/>
      <c r="BM221" s="6" t="n"/>
      <c r="BN221" s="6" t="n"/>
      <c r="BO221" s="6" t="n"/>
      <c r="BP221" s="6" t="n"/>
      <c r="BQ221" s="6" t="n"/>
      <c r="BR221" s="6" t="n"/>
      <c r="BS221" s="6" t="n"/>
      <c r="BT221" s="6" t="n"/>
      <c r="BU221" s="6" t="n"/>
      <c r="BV221" s="6" t="n"/>
      <c r="BW221" s="6" t="n"/>
      <c r="BX221" s="6" t="n"/>
      <c r="BY221" s="6" t="n"/>
      <c r="BZ221" s="6" t="n"/>
      <c r="CA221" s="6" t="n"/>
      <c r="CB221" s="6" t="n"/>
      <c r="CC221" s="6" t="n"/>
      <c r="CD221" s="6" t="n"/>
      <c r="CE221" s="6" t="n"/>
      <c r="CF221" s="6" t="n"/>
      <c r="CG221" s="6" t="n"/>
      <c r="CH221" s="6" t="n"/>
      <c r="CI221" s="6" t="n"/>
      <c r="CJ221" s="6" t="n"/>
      <c r="CK221" s="6" t="n"/>
      <c r="CL221" s="6" t="n"/>
      <c r="CM221" s="6" t="n"/>
      <c r="CN221" s="6" t="n"/>
      <c r="CO221" s="6" t="n"/>
      <c r="CP221" s="6" t="n"/>
      <c r="CQ221" s="6" t="n"/>
      <c r="CR221" s="6" t="n"/>
      <c r="CS221" s="6" t="n"/>
      <c r="CT221" s="6" t="n"/>
      <c r="CU221" s="6" t="n"/>
      <c r="CV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n"/>
      <c r="BD222" s="6" t="n"/>
      <c r="BE222" s="6" t="n"/>
      <c r="BF222" s="6" t="n"/>
      <c r="BG222" s="6" t="n"/>
      <c r="BH222" s="6" t="n"/>
      <c r="BI222" s="6" t="n"/>
      <c r="BJ222" s="6" t="n"/>
      <c r="BK222" s="6" t="n"/>
      <c r="BL222" s="6" t="n"/>
      <c r="BM222" s="6" t="n"/>
      <c r="BN222" s="6" t="n"/>
      <c r="BO222" s="6" t="n"/>
      <c r="BP222" s="6" t="n"/>
      <c r="BQ222" s="6" t="n"/>
      <c r="BR222" s="6" t="n"/>
      <c r="BS222" s="6" t="n"/>
      <c r="BT222" s="6" t="n"/>
      <c r="BU222" s="6" t="n"/>
      <c r="BV222" s="6" t="n"/>
      <c r="BW222" s="6" t="n"/>
      <c r="BX222" s="6" t="n"/>
      <c r="BY222" s="6" t="n"/>
      <c r="BZ222" s="6" t="n"/>
      <c r="CA222" s="6" t="n"/>
      <c r="CB222" s="6" t="n"/>
      <c r="CC222" s="6" t="n"/>
      <c r="CD222" s="6" t="n"/>
      <c r="CE222" s="6" t="n"/>
      <c r="CF222" s="6" t="n"/>
      <c r="CG222" s="6" t="n"/>
      <c r="CH222" s="6" t="n"/>
      <c r="CI222" s="6" t="n"/>
      <c r="CJ222" s="6" t="n"/>
      <c r="CK222" s="6" t="n"/>
      <c r="CL222" s="6" t="n"/>
      <c r="CM222" s="6" t="n"/>
      <c r="CN222" s="6" t="n"/>
      <c r="CO222" s="6" t="n"/>
      <c r="CP222" s="6" t="n"/>
      <c r="CQ222" s="6" t="n"/>
      <c r="CR222" s="6" t="n"/>
      <c r="CS222" s="6" t="n"/>
      <c r="CT222" s="6" t="n"/>
      <c r="CU222" s="6" t="n"/>
      <c r="CV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n"/>
      <c r="BD223" s="6" t="n"/>
      <c r="BE223" s="6" t="n"/>
      <c r="BF223" s="6" t="n"/>
      <c r="BG223" s="6" t="n"/>
      <c r="BH223" s="6" t="n"/>
      <c r="BI223" s="6" t="n"/>
      <c r="BJ223" s="6" t="n"/>
      <c r="BK223" s="6" t="n"/>
      <c r="BL223" s="6" t="n"/>
      <c r="BM223" s="6" t="n"/>
      <c r="BN223" s="6" t="n"/>
      <c r="BO223" s="6" t="n"/>
      <c r="BP223" s="6" t="n"/>
      <c r="BQ223" s="6" t="n"/>
      <c r="BR223" s="6" t="n"/>
      <c r="BS223" s="6" t="n"/>
      <c r="BT223" s="6" t="n"/>
      <c r="BU223" s="6" t="n"/>
      <c r="BV223" s="6" t="n"/>
      <c r="BW223" s="6" t="n"/>
      <c r="BX223" s="6" t="n"/>
      <c r="BY223" s="6" t="n"/>
      <c r="BZ223" s="6" t="n"/>
      <c r="CA223" s="6" t="n"/>
      <c r="CB223" s="6" t="n"/>
      <c r="CC223" s="6" t="n"/>
      <c r="CD223" s="6" t="n"/>
      <c r="CE223" s="6" t="n"/>
      <c r="CF223" s="6" t="n"/>
      <c r="CG223" s="6" t="n"/>
      <c r="CH223" s="6" t="n"/>
      <c r="CI223" s="6" t="n"/>
      <c r="CJ223" s="6" t="n"/>
      <c r="CK223" s="6" t="n"/>
      <c r="CL223" s="6" t="n"/>
      <c r="CM223" s="6" t="n"/>
      <c r="CN223" s="6" t="n"/>
      <c r="CO223" s="6" t="n"/>
      <c r="CP223" s="6" t="n"/>
      <c r="CQ223" s="6" t="n"/>
      <c r="CR223" s="6" t="n"/>
      <c r="CS223" s="6" t="n"/>
      <c r="CT223" s="6" t="n"/>
      <c r="CU223" s="6" t="n"/>
      <c r="CV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n"/>
      <c r="BD224" s="6" t="n"/>
      <c r="BE224" s="6" t="n"/>
      <c r="BF224" s="6" t="n"/>
      <c r="BG224" s="6" t="n"/>
      <c r="BH224" s="6" t="n"/>
      <c r="BI224" s="6" t="n"/>
      <c r="BJ224" s="6" t="n"/>
      <c r="BK224" s="6" t="n"/>
      <c r="BL224" s="6" t="n"/>
      <c r="BM224" s="6" t="n"/>
      <c r="BN224" s="6" t="n"/>
      <c r="BO224" s="6" t="n"/>
      <c r="BP224" s="6" t="n"/>
      <c r="BQ224" s="6" t="n"/>
      <c r="BR224" s="6" t="n"/>
      <c r="BS224" s="6" t="n"/>
      <c r="BT224" s="6" t="n"/>
      <c r="BU224" s="6" t="n"/>
      <c r="BV224" s="6" t="n"/>
      <c r="BW224" s="6" t="n"/>
      <c r="BX224" s="6" t="n"/>
      <c r="BY224" s="6" t="n"/>
      <c r="BZ224" s="6" t="n"/>
      <c r="CA224" s="6" t="n"/>
      <c r="CB224" s="6" t="n"/>
      <c r="CC224" s="6" t="n"/>
      <c r="CD224" s="6" t="n"/>
      <c r="CE224" s="6" t="n"/>
      <c r="CF224" s="6" t="n"/>
      <c r="CG224" s="6" t="n"/>
      <c r="CH224" s="6" t="n"/>
      <c r="CI224" s="6" t="n"/>
      <c r="CJ224" s="6" t="n"/>
      <c r="CK224" s="6" t="n"/>
      <c r="CL224" s="6" t="n"/>
      <c r="CM224" s="6" t="n"/>
      <c r="CN224" s="6" t="n"/>
      <c r="CO224" s="6" t="n"/>
      <c r="CP224" s="6" t="n"/>
      <c r="CQ224" s="6" t="n"/>
      <c r="CR224" s="6" t="n"/>
      <c r="CS224" s="6" t="n"/>
      <c r="CT224" s="6" t="n"/>
      <c r="CU224" s="6" t="n"/>
      <c r="CV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n"/>
      <c r="BD225" s="6" t="n"/>
      <c r="BE225" s="6" t="n"/>
      <c r="BF225" s="6" t="n"/>
      <c r="BG225" s="6" t="n"/>
      <c r="BH225" s="6" t="n"/>
      <c r="BI225" s="6" t="n"/>
      <c r="BJ225" s="6" t="n"/>
      <c r="BK225" s="6" t="n"/>
      <c r="BL225" s="6" t="n"/>
      <c r="BM225" s="6" t="n"/>
      <c r="BN225" s="6" t="n"/>
      <c r="BO225" s="6" t="n"/>
      <c r="BP225" s="6" t="n"/>
      <c r="BQ225" s="6" t="n"/>
      <c r="BR225" s="6" t="n"/>
      <c r="BS225" s="6" t="n"/>
      <c r="BT225" s="6" t="n"/>
      <c r="BU225" s="6" t="n"/>
      <c r="BV225" s="6" t="n"/>
      <c r="BW225" s="6" t="n"/>
      <c r="BX225" s="6" t="n"/>
      <c r="BY225" s="6" t="n"/>
      <c r="BZ225" s="6" t="n"/>
      <c r="CA225" s="6" t="n"/>
      <c r="CB225" s="6" t="n"/>
      <c r="CC225" s="6" t="n"/>
      <c r="CD225" s="6" t="n"/>
      <c r="CE225" s="6" t="n"/>
      <c r="CF225" s="6" t="n"/>
      <c r="CG225" s="6" t="n"/>
      <c r="CH225" s="6" t="n"/>
      <c r="CI225" s="6" t="n"/>
      <c r="CJ225" s="6" t="n"/>
      <c r="CK225" s="6" t="n"/>
      <c r="CL225" s="6" t="n"/>
      <c r="CM225" s="6" t="n"/>
      <c r="CN225" s="6" t="n"/>
      <c r="CO225" s="6" t="n"/>
      <c r="CP225" s="6" t="n"/>
      <c r="CQ225" s="6" t="n"/>
      <c r="CR225" s="6" t="n"/>
      <c r="CS225" s="6" t="n"/>
      <c r="CT225" s="6" t="n"/>
      <c r="CU225" s="6" t="n"/>
      <c r="CV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n"/>
      <c r="BD226" s="6" t="n"/>
      <c r="BE226" s="6" t="n"/>
      <c r="BF226" s="6" t="n"/>
      <c r="BG226" s="6" t="n"/>
      <c r="BH226" s="6" t="n"/>
      <c r="BI226" s="6" t="n"/>
      <c r="BJ226" s="6" t="n"/>
      <c r="BK226" s="6" t="n"/>
      <c r="BL226" s="6" t="n"/>
      <c r="BM226" s="6" t="n"/>
      <c r="BN226" s="6" t="n"/>
      <c r="BO226" s="6" t="n"/>
      <c r="BP226" s="6" t="n"/>
      <c r="BQ226" s="6" t="n"/>
      <c r="BR226" s="6" t="n"/>
      <c r="BS226" s="6" t="n"/>
      <c r="BT226" s="6" t="n"/>
      <c r="BU226" s="6" t="n"/>
      <c r="BV226" s="6" t="n"/>
      <c r="BW226" s="6" t="n"/>
      <c r="BX226" s="6" t="n"/>
      <c r="BY226" s="6" t="n"/>
      <c r="BZ226" s="6" t="n"/>
      <c r="CA226" s="6" t="n"/>
      <c r="CB226" s="6" t="n"/>
      <c r="CC226" s="6" t="n"/>
      <c r="CD226" s="6" t="n"/>
      <c r="CE226" s="6" t="n"/>
      <c r="CF226" s="6" t="n"/>
      <c r="CG226" s="6" t="n"/>
      <c r="CH226" s="6" t="n"/>
      <c r="CI226" s="6" t="n"/>
      <c r="CJ226" s="6" t="n"/>
      <c r="CK226" s="6" t="n"/>
      <c r="CL226" s="6" t="n"/>
      <c r="CM226" s="6" t="n"/>
      <c r="CN226" s="6" t="n"/>
      <c r="CO226" s="6" t="n"/>
      <c r="CP226" s="6" t="n"/>
      <c r="CQ226" s="6" t="n"/>
      <c r="CR226" s="6" t="n"/>
      <c r="CS226" s="6" t="n"/>
      <c r="CT226" s="6" t="n"/>
      <c r="CU226" s="6" t="n"/>
      <c r="CV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c r="AM227" s="6" t="n"/>
      <c r="AN227" s="6" t="n"/>
      <c r="AO227" s="6" t="n"/>
      <c r="AP227" s="6" t="n"/>
      <c r="AQ227" s="6" t="n"/>
      <c r="AR227" s="6" t="n"/>
      <c r="AS227" s="6" t="n"/>
      <c r="AT227" s="6" t="n"/>
      <c r="AU227" s="6" t="n"/>
      <c r="AV227" s="6" t="n"/>
      <c r="AW227" s="6" t="n"/>
      <c r="AX227" s="6" t="n"/>
      <c r="AY227" s="6" t="n"/>
      <c r="AZ227" s="6" t="n"/>
      <c r="BA227" s="6" t="n"/>
      <c r="BB227" s="6" t="n"/>
      <c r="BC227" s="6" t="n"/>
      <c r="BD227" s="6" t="n"/>
      <c r="BE227" s="6" t="n"/>
      <c r="BF227" s="6" t="n"/>
      <c r="BG227" s="6" t="n"/>
      <c r="BH227" s="6" t="n"/>
      <c r="BI227" s="6" t="n"/>
      <c r="BJ227" s="6" t="n"/>
      <c r="BK227" s="6" t="n"/>
      <c r="BL227" s="6" t="n"/>
      <c r="BM227" s="6" t="n"/>
      <c r="BN227" s="6" t="n"/>
      <c r="BO227" s="6" t="n"/>
      <c r="BP227" s="6" t="n"/>
      <c r="BQ227" s="6" t="n"/>
      <c r="BR227" s="6" t="n"/>
      <c r="BS227" s="6" t="n"/>
      <c r="BT227" s="6" t="n"/>
      <c r="BU227" s="6" t="n"/>
      <c r="BV227" s="6" t="n"/>
      <c r="BW227" s="6" t="n"/>
      <c r="BX227" s="6" t="n"/>
      <c r="BY227" s="6" t="n"/>
      <c r="BZ227" s="6" t="n"/>
      <c r="CA227" s="6" t="n"/>
      <c r="CB227" s="6" t="n"/>
      <c r="CC227" s="6" t="n"/>
      <c r="CD227" s="6" t="n"/>
      <c r="CE227" s="6" t="n"/>
      <c r="CF227" s="6" t="n"/>
      <c r="CG227" s="6" t="n"/>
      <c r="CH227" s="6" t="n"/>
      <c r="CI227" s="6" t="n"/>
      <c r="CJ227" s="6" t="n"/>
      <c r="CK227" s="6" t="n"/>
      <c r="CL227" s="6" t="n"/>
      <c r="CM227" s="6" t="n"/>
      <c r="CN227" s="6" t="n"/>
      <c r="CO227" s="6" t="n"/>
      <c r="CP227" s="6" t="n"/>
      <c r="CQ227" s="6" t="n"/>
      <c r="CR227" s="6" t="n"/>
      <c r="CS227" s="6" t="n"/>
      <c r="CT227" s="6" t="n"/>
      <c r="CU227" s="6" t="n"/>
      <c r="CV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6" t="n"/>
      <c r="BP228" s="6" t="n"/>
      <c r="BQ228" s="6" t="n"/>
      <c r="BR228" s="6" t="n"/>
      <c r="BS228" s="6" t="n"/>
      <c r="BT228" s="6" t="n"/>
      <c r="BU228" s="6" t="n"/>
      <c r="BV228" s="6" t="n"/>
      <c r="BW228" s="6" t="n"/>
      <c r="BX228" s="6" t="n"/>
      <c r="BY228" s="6" t="n"/>
      <c r="BZ228" s="6" t="n"/>
      <c r="CA228" s="6" t="n"/>
      <c r="CB228" s="6" t="n"/>
      <c r="CC228" s="6" t="n"/>
      <c r="CD228" s="6" t="n"/>
      <c r="CE228" s="6" t="n"/>
      <c r="CF228" s="6" t="n"/>
      <c r="CG228" s="6" t="n"/>
      <c r="CH228" s="6" t="n"/>
      <c r="CI228" s="6" t="n"/>
      <c r="CJ228" s="6" t="n"/>
      <c r="CK228" s="6" t="n"/>
      <c r="CL228" s="6" t="n"/>
      <c r="CM228" s="6" t="n"/>
      <c r="CN228" s="6" t="n"/>
      <c r="CO228" s="6" t="n"/>
      <c r="CP228" s="6" t="n"/>
      <c r="CQ228" s="6" t="n"/>
      <c r="CR228" s="6" t="n"/>
      <c r="CS228" s="6" t="n"/>
      <c r="CT228" s="6" t="n"/>
      <c r="CU228" s="6" t="n"/>
      <c r="CV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6" t="n"/>
      <c r="BP229" s="6" t="n"/>
      <c r="BQ229" s="6" t="n"/>
      <c r="BR229" s="6" t="n"/>
      <c r="BS229" s="6" t="n"/>
      <c r="BT229" s="6" t="n"/>
      <c r="BU229" s="6" t="n"/>
      <c r="BV229" s="6" t="n"/>
      <c r="BW229" s="6" t="n"/>
      <c r="BX229" s="6" t="n"/>
      <c r="BY229" s="6" t="n"/>
      <c r="BZ229" s="6" t="n"/>
      <c r="CA229" s="6" t="n"/>
      <c r="CB229" s="6" t="n"/>
      <c r="CC229" s="6" t="n"/>
      <c r="CD229" s="6" t="n"/>
      <c r="CE229" s="6" t="n"/>
      <c r="CF229" s="6" t="n"/>
      <c r="CG229" s="6" t="n"/>
      <c r="CH229" s="6" t="n"/>
      <c r="CI229" s="6" t="n"/>
      <c r="CJ229" s="6" t="n"/>
      <c r="CK229" s="6" t="n"/>
      <c r="CL229" s="6" t="n"/>
      <c r="CM229" s="6" t="n"/>
      <c r="CN229" s="6" t="n"/>
      <c r="CO229" s="6" t="n"/>
      <c r="CP229" s="6" t="n"/>
      <c r="CQ229" s="6" t="n"/>
      <c r="CR229" s="6" t="n"/>
      <c r="CS229" s="6" t="n"/>
      <c r="CT229" s="6" t="n"/>
      <c r="CU229" s="6" t="n"/>
      <c r="CV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6" t="n"/>
      <c r="BP230" s="6" t="n"/>
      <c r="BQ230" s="6" t="n"/>
      <c r="BR230" s="6" t="n"/>
      <c r="BS230" s="6" t="n"/>
      <c r="BT230" s="6" t="n"/>
      <c r="BU230" s="6" t="n"/>
      <c r="BV230" s="6" t="n"/>
      <c r="BW230" s="6" t="n"/>
      <c r="BX230" s="6" t="n"/>
      <c r="BY230" s="6" t="n"/>
      <c r="BZ230" s="6" t="n"/>
      <c r="CA230" s="6" t="n"/>
      <c r="CB230" s="6" t="n"/>
      <c r="CC230" s="6" t="n"/>
      <c r="CD230" s="6" t="n"/>
      <c r="CE230" s="6" t="n"/>
      <c r="CF230" s="6" t="n"/>
      <c r="CG230" s="6" t="n"/>
      <c r="CH230" s="6" t="n"/>
      <c r="CI230" s="6" t="n"/>
      <c r="CJ230" s="6" t="n"/>
      <c r="CK230" s="6" t="n"/>
      <c r="CL230" s="6" t="n"/>
      <c r="CM230" s="6" t="n"/>
      <c r="CN230" s="6" t="n"/>
      <c r="CO230" s="6" t="n"/>
      <c r="CP230" s="6" t="n"/>
      <c r="CQ230" s="6" t="n"/>
      <c r="CR230" s="6" t="n"/>
      <c r="CS230" s="6" t="n"/>
      <c r="CT230" s="6" t="n"/>
      <c r="CU230" s="6" t="n"/>
      <c r="CV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6" t="n"/>
      <c r="BP231" s="6" t="n"/>
      <c r="BQ231" s="6" t="n"/>
      <c r="BR231" s="6" t="n"/>
      <c r="BS231" s="6" t="n"/>
      <c r="BT231" s="6" t="n"/>
      <c r="BU231" s="6" t="n"/>
      <c r="BV231" s="6" t="n"/>
      <c r="BW231" s="6" t="n"/>
      <c r="BX231" s="6" t="n"/>
      <c r="BY231" s="6" t="n"/>
      <c r="BZ231" s="6" t="n"/>
      <c r="CA231" s="6" t="n"/>
      <c r="CB231" s="6" t="n"/>
      <c r="CC231" s="6" t="n"/>
      <c r="CD231" s="6" t="n"/>
      <c r="CE231" s="6" t="n"/>
      <c r="CF231" s="6" t="n"/>
      <c r="CG231" s="6" t="n"/>
      <c r="CH231" s="6" t="n"/>
      <c r="CI231" s="6" t="n"/>
      <c r="CJ231" s="6" t="n"/>
      <c r="CK231" s="6" t="n"/>
      <c r="CL231" s="6" t="n"/>
      <c r="CM231" s="6" t="n"/>
      <c r="CN231" s="6" t="n"/>
      <c r="CO231" s="6" t="n"/>
      <c r="CP231" s="6" t="n"/>
      <c r="CQ231" s="6" t="n"/>
      <c r="CR231" s="6" t="n"/>
      <c r="CS231" s="6" t="n"/>
      <c r="CT231" s="6" t="n"/>
      <c r="CU231" s="6" t="n"/>
      <c r="CV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6" t="n"/>
      <c r="BQ232" s="6" t="n"/>
      <c r="BR232" s="6" t="n"/>
      <c r="BS232" s="6" t="n"/>
      <c r="BT232" s="6" t="n"/>
      <c r="BU232" s="6" t="n"/>
      <c r="BV232" s="6" t="n"/>
      <c r="BW232" s="6" t="n"/>
      <c r="BX232" s="6" t="n"/>
      <c r="BY232" s="6" t="n"/>
      <c r="BZ232" s="6" t="n"/>
      <c r="CA232" s="6" t="n"/>
      <c r="CB232" s="6" t="n"/>
      <c r="CC232" s="6" t="n"/>
      <c r="CD232" s="6" t="n"/>
      <c r="CE232" s="6" t="n"/>
      <c r="CF232" s="6" t="n"/>
      <c r="CG232" s="6" t="n"/>
      <c r="CH232" s="6" t="n"/>
      <c r="CI232" s="6" t="n"/>
      <c r="CJ232" s="6" t="n"/>
      <c r="CK232" s="6" t="n"/>
      <c r="CL232" s="6" t="n"/>
      <c r="CM232" s="6" t="n"/>
      <c r="CN232" s="6" t="n"/>
      <c r="CO232" s="6" t="n"/>
      <c r="CP232" s="6" t="n"/>
      <c r="CQ232" s="6" t="n"/>
      <c r="CR232" s="6" t="n"/>
      <c r="CS232" s="6" t="n"/>
      <c r="CT232" s="6" t="n"/>
      <c r="CU232" s="6" t="n"/>
      <c r="CV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6" t="n"/>
      <c r="BP233" s="6" t="n"/>
      <c r="BQ233" s="6" t="n"/>
      <c r="BR233" s="6" t="n"/>
      <c r="BS233" s="6" t="n"/>
      <c r="BT233" s="6" t="n"/>
      <c r="BU233" s="6" t="n"/>
      <c r="BV233" s="6" t="n"/>
      <c r="BW233" s="6" t="n"/>
      <c r="BX233" s="6" t="n"/>
      <c r="BY233" s="6" t="n"/>
      <c r="BZ233" s="6" t="n"/>
      <c r="CA233" s="6" t="n"/>
      <c r="CB233" s="6" t="n"/>
      <c r="CC233" s="6" t="n"/>
      <c r="CD233" s="6" t="n"/>
      <c r="CE233" s="6" t="n"/>
      <c r="CF233" s="6" t="n"/>
      <c r="CG233" s="6" t="n"/>
      <c r="CH233" s="6" t="n"/>
      <c r="CI233" s="6" t="n"/>
      <c r="CJ233" s="6" t="n"/>
      <c r="CK233" s="6" t="n"/>
      <c r="CL233" s="6" t="n"/>
      <c r="CM233" s="6" t="n"/>
      <c r="CN233" s="6" t="n"/>
      <c r="CO233" s="6" t="n"/>
      <c r="CP233" s="6" t="n"/>
      <c r="CQ233" s="6" t="n"/>
      <c r="CR233" s="6" t="n"/>
      <c r="CS233" s="6" t="n"/>
      <c r="CT233" s="6" t="n"/>
      <c r="CU233" s="6" t="n"/>
      <c r="CV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6" t="n"/>
      <c r="BP234" s="6" t="n"/>
      <c r="BQ234" s="6" t="n"/>
      <c r="BR234" s="6" t="n"/>
      <c r="BS234" s="6" t="n"/>
      <c r="BT234" s="6" t="n"/>
      <c r="BU234" s="6" t="n"/>
      <c r="BV234" s="6" t="n"/>
      <c r="BW234" s="6" t="n"/>
      <c r="BX234" s="6" t="n"/>
      <c r="BY234" s="6" t="n"/>
      <c r="BZ234" s="6" t="n"/>
      <c r="CA234" s="6" t="n"/>
      <c r="CB234" s="6" t="n"/>
      <c r="CC234" s="6" t="n"/>
      <c r="CD234" s="6" t="n"/>
      <c r="CE234" s="6" t="n"/>
      <c r="CF234" s="6" t="n"/>
      <c r="CG234" s="6" t="n"/>
      <c r="CH234" s="6" t="n"/>
      <c r="CI234" s="6" t="n"/>
      <c r="CJ234" s="6" t="n"/>
      <c r="CK234" s="6" t="n"/>
      <c r="CL234" s="6" t="n"/>
      <c r="CM234" s="6" t="n"/>
      <c r="CN234" s="6" t="n"/>
      <c r="CO234" s="6" t="n"/>
      <c r="CP234" s="6" t="n"/>
      <c r="CQ234" s="6" t="n"/>
      <c r="CR234" s="6" t="n"/>
      <c r="CS234" s="6" t="n"/>
      <c r="CT234" s="6" t="n"/>
      <c r="CU234" s="6" t="n"/>
      <c r="CV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n"/>
      <c r="BP235" s="6" t="n"/>
      <c r="BQ235" s="6" t="n"/>
      <c r="BR235" s="6" t="n"/>
      <c r="BS235" s="6" t="n"/>
      <c r="BT235" s="6" t="n"/>
      <c r="BU235" s="6" t="n"/>
      <c r="BV235" s="6" t="n"/>
      <c r="BW235" s="6" t="n"/>
      <c r="BX235" s="6" t="n"/>
      <c r="BY235" s="6" t="n"/>
      <c r="BZ235" s="6" t="n"/>
      <c r="CA235" s="6" t="n"/>
      <c r="CB235" s="6" t="n"/>
      <c r="CC235" s="6" t="n"/>
      <c r="CD235" s="6" t="n"/>
      <c r="CE235" s="6" t="n"/>
      <c r="CF235" s="6" t="n"/>
      <c r="CG235" s="6" t="n"/>
      <c r="CH235" s="6" t="n"/>
      <c r="CI235" s="6" t="n"/>
      <c r="CJ235" s="6" t="n"/>
      <c r="CK235" s="6" t="n"/>
      <c r="CL235" s="6" t="n"/>
      <c r="CM235" s="6" t="n"/>
      <c r="CN235" s="6" t="n"/>
      <c r="CO235" s="6" t="n"/>
      <c r="CP235" s="6" t="n"/>
      <c r="CQ235" s="6" t="n"/>
      <c r="CR235" s="6" t="n"/>
      <c r="CS235" s="6" t="n"/>
      <c r="CT235" s="6" t="n"/>
      <c r="CU235" s="6" t="n"/>
      <c r="CV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n"/>
      <c r="BP236" s="6" t="n"/>
      <c r="BQ236" s="6" t="n"/>
      <c r="BR236" s="6" t="n"/>
      <c r="BS236" s="6" t="n"/>
      <c r="BT236" s="6" t="n"/>
      <c r="BU236" s="6" t="n"/>
      <c r="BV236" s="6" t="n"/>
      <c r="BW236" s="6" t="n"/>
      <c r="BX236" s="6" t="n"/>
      <c r="BY236" s="6" t="n"/>
      <c r="BZ236" s="6" t="n"/>
      <c r="CA236" s="6" t="n"/>
      <c r="CB236" s="6" t="n"/>
      <c r="CC236" s="6" t="n"/>
      <c r="CD236" s="6" t="n"/>
      <c r="CE236" s="6" t="n"/>
      <c r="CF236" s="6" t="n"/>
      <c r="CG236" s="6" t="n"/>
      <c r="CH236" s="6" t="n"/>
      <c r="CI236" s="6" t="n"/>
      <c r="CJ236" s="6" t="n"/>
      <c r="CK236" s="6" t="n"/>
      <c r="CL236" s="6" t="n"/>
      <c r="CM236" s="6" t="n"/>
      <c r="CN236" s="6" t="n"/>
      <c r="CO236" s="6" t="n"/>
      <c r="CP236" s="6" t="n"/>
      <c r="CQ236" s="6" t="n"/>
      <c r="CR236" s="6" t="n"/>
      <c r="CS236" s="6" t="n"/>
      <c r="CT236" s="6" t="n"/>
      <c r="CU236" s="6" t="n"/>
      <c r="CV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6" t="n"/>
      <c r="BP237" s="6" t="n"/>
      <c r="BQ237" s="6" t="n"/>
      <c r="BR237" s="6" t="n"/>
      <c r="BS237" s="6" t="n"/>
      <c r="BT237" s="6" t="n"/>
      <c r="BU237" s="6" t="n"/>
      <c r="BV237" s="6" t="n"/>
      <c r="BW237" s="6" t="n"/>
      <c r="BX237" s="6" t="n"/>
      <c r="BY237" s="6" t="n"/>
      <c r="BZ237" s="6" t="n"/>
      <c r="CA237" s="6" t="n"/>
      <c r="CB237" s="6" t="n"/>
      <c r="CC237" s="6" t="n"/>
      <c r="CD237" s="6" t="n"/>
      <c r="CE237" s="6" t="n"/>
      <c r="CF237" s="6" t="n"/>
      <c r="CG237" s="6" t="n"/>
      <c r="CH237" s="6" t="n"/>
      <c r="CI237" s="6" t="n"/>
      <c r="CJ237" s="6" t="n"/>
      <c r="CK237" s="6" t="n"/>
      <c r="CL237" s="6" t="n"/>
      <c r="CM237" s="6" t="n"/>
      <c r="CN237" s="6" t="n"/>
      <c r="CO237" s="6" t="n"/>
      <c r="CP237" s="6" t="n"/>
      <c r="CQ237" s="6" t="n"/>
      <c r="CR237" s="6" t="n"/>
      <c r="CS237" s="6" t="n"/>
      <c r="CT237" s="6" t="n"/>
      <c r="CU237" s="6" t="n"/>
      <c r="CV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6" t="n"/>
      <c r="BP238" s="6" t="n"/>
      <c r="BQ238" s="6" t="n"/>
      <c r="BR238" s="6" t="n"/>
      <c r="BS238" s="6" t="n"/>
      <c r="BT238" s="6" t="n"/>
      <c r="BU238" s="6" t="n"/>
      <c r="BV238" s="6" t="n"/>
      <c r="BW238" s="6" t="n"/>
      <c r="BX238" s="6" t="n"/>
      <c r="BY238" s="6" t="n"/>
      <c r="BZ238" s="6" t="n"/>
      <c r="CA238" s="6" t="n"/>
      <c r="CB238" s="6" t="n"/>
      <c r="CC238" s="6" t="n"/>
      <c r="CD238" s="6" t="n"/>
      <c r="CE238" s="6" t="n"/>
      <c r="CF238" s="6" t="n"/>
      <c r="CG238" s="6" t="n"/>
      <c r="CH238" s="6" t="n"/>
      <c r="CI238" s="6" t="n"/>
      <c r="CJ238" s="6" t="n"/>
      <c r="CK238" s="6" t="n"/>
      <c r="CL238" s="6" t="n"/>
      <c r="CM238" s="6" t="n"/>
      <c r="CN238" s="6" t="n"/>
      <c r="CO238" s="6" t="n"/>
      <c r="CP238" s="6" t="n"/>
      <c r="CQ238" s="6" t="n"/>
      <c r="CR238" s="6" t="n"/>
      <c r="CS238" s="6" t="n"/>
      <c r="CT238" s="6" t="n"/>
      <c r="CU238" s="6" t="n"/>
      <c r="CV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n"/>
      <c r="BP239" s="6" t="n"/>
      <c r="BQ239" s="6" t="n"/>
      <c r="BR239" s="6" t="n"/>
      <c r="BS239" s="6" t="n"/>
      <c r="BT239" s="6" t="n"/>
      <c r="BU239" s="6" t="n"/>
      <c r="BV239" s="6" t="n"/>
      <c r="BW239" s="6" t="n"/>
      <c r="BX239" s="6" t="n"/>
      <c r="BY239" s="6" t="n"/>
      <c r="BZ239" s="6" t="n"/>
      <c r="CA239" s="6" t="n"/>
      <c r="CB239" s="6" t="n"/>
      <c r="CC239" s="6" t="n"/>
      <c r="CD239" s="6" t="n"/>
      <c r="CE239" s="6" t="n"/>
      <c r="CF239" s="6" t="n"/>
      <c r="CG239" s="6" t="n"/>
      <c r="CH239" s="6" t="n"/>
      <c r="CI239" s="6" t="n"/>
      <c r="CJ239" s="6" t="n"/>
      <c r="CK239" s="6" t="n"/>
      <c r="CL239" s="6" t="n"/>
      <c r="CM239" s="6" t="n"/>
      <c r="CN239" s="6" t="n"/>
      <c r="CO239" s="6" t="n"/>
      <c r="CP239" s="6" t="n"/>
      <c r="CQ239" s="6" t="n"/>
      <c r="CR239" s="6" t="n"/>
      <c r="CS239" s="6" t="n"/>
      <c r="CT239" s="6" t="n"/>
      <c r="CU239" s="6" t="n"/>
      <c r="CV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n"/>
      <c r="BP240" s="6" t="n"/>
      <c r="BQ240" s="6" t="n"/>
      <c r="BR240" s="6" t="n"/>
      <c r="BS240" s="6" t="n"/>
      <c r="BT240" s="6" t="n"/>
      <c r="BU240" s="6" t="n"/>
      <c r="BV240" s="6" t="n"/>
      <c r="BW240" s="6" t="n"/>
      <c r="BX240" s="6" t="n"/>
      <c r="BY240" s="6" t="n"/>
      <c r="BZ240" s="6" t="n"/>
      <c r="CA240" s="6" t="n"/>
      <c r="CB240" s="6" t="n"/>
      <c r="CC240" s="6" t="n"/>
      <c r="CD240" s="6" t="n"/>
      <c r="CE240" s="6" t="n"/>
      <c r="CF240" s="6" t="n"/>
      <c r="CG240" s="6" t="n"/>
      <c r="CH240" s="6" t="n"/>
      <c r="CI240" s="6" t="n"/>
      <c r="CJ240" s="6" t="n"/>
      <c r="CK240" s="6" t="n"/>
      <c r="CL240" s="6" t="n"/>
      <c r="CM240" s="6" t="n"/>
      <c r="CN240" s="6" t="n"/>
      <c r="CO240" s="6" t="n"/>
      <c r="CP240" s="6" t="n"/>
      <c r="CQ240" s="6" t="n"/>
      <c r="CR240" s="6" t="n"/>
      <c r="CS240" s="6" t="n"/>
      <c r="CT240" s="6" t="n"/>
      <c r="CU240" s="6" t="n"/>
      <c r="CV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6" t="n"/>
      <c r="BP241" s="6" t="n"/>
      <c r="BQ241" s="6" t="n"/>
      <c r="BR241" s="6" t="n"/>
      <c r="BS241" s="6" t="n"/>
      <c r="BT241" s="6" t="n"/>
      <c r="BU241" s="6" t="n"/>
      <c r="BV241" s="6" t="n"/>
      <c r="BW241" s="6" t="n"/>
      <c r="BX241" s="6" t="n"/>
      <c r="BY241" s="6" t="n"/>
      <c r="BZ241" s="6" t="n"/>
      <c r="CA241" s="6" t="n"/>
      <c r="CB241" s="6" t="n"/>
      <c r="CC241" s="6" t="n"/>
      <c r="CD241" s="6" t="n"/>
      <c r="CE241" s="6" t="n"/>
      <c r="CF241" s="6" t="n"/>
      <c r="CG241" s="6" t="n"/>
      <c r="CH241" s="6" t="n"/>
      <c r="CI241" s="6" t="n"/>
      <c r="CJ241" s="6" t="n"/>
      <c r="CK241" s="6" t="n"/>
      <c r="CL241" s="6" t="n"/>
      <c r="CM241" s="6" t="n"/>
      <c r="CN241" s="6" t="n"/>
      <c r="CO241" s="6" t="n"/>
      <c r="CP241" s="6" t="n"/>
      <c r="CQ241" s="6" t="n"/>
      <c r="CR241" s="6" t="n"/>
      <c r="CS241" s="6" t="n"/>
      <c r="CT241" s="6" t="n"/>
      <c r="CU241" s="6" t="n"/>
      <c r="CV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6" t="n"/>
      <c r="BP242" s="6" t="n"/>
      <c r="BQ242" s="6" t="n"/>
      <c r="BR242" s="6" t="n"/>
      <c r="BS242" s="6" t="n"/>
      <c r="BT242" s="6" t="n"/>
      <c r="BU242" s="6" t="n"/>
      <c r="BV242" s="6" t="n"/>
      <c r="BW242" s="6" t="n"/>
      <c r="BX242" s="6" t="n"/>
      <c r="BY242" s="6" t="n"/>
      <c r="BZ242" s="6" t="n"/>
      <c r="CA242" s="6" t="n"/>
      <c r="CB242" s="6" t="n"/>
      <c r="CC242" s="6" t="n"/>
      <c r="CD242" s="6" t="n"/>
      <c r="CE242" s="6" t="n"/>
      <c r="CF242" s="6" t="n"/>
      <c r="CG242" s="6" t="n"/>
      <c r="CH242" s="6" t="n"/>
      <c r="CI242" s="6" t="n"/>
      <c r="CJ242" s="6" t="n"/>
      <c r="CK242" s="6" t="n"/>
      <c r="CL242" s="6" t="n"/>
      <c r="CM242" s="6" t="n"/>
      <c r="CN242" s="6" t="n"/>
      <c r="CO242" s="6" t="n"/>
      <c r="CP242" s="6" t="n"/>
      <c r="CQ242" s="6" t="n"/>
      <c r="CR242" s="6" t="n"/>
      <c r="CS242" s="6" t="n"/>
      <c r="CT242" s="6" t="n"/>
      <c r="CU242" s="6" t="n"/>
      <c r="CV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6" t="n"/>
      <c r="BP243" s="6" t="n"/>
      <c r="BQ243" s="6" t="n"/>
      <c r="BR243" s="6" t="n"/>
      <c r="BS243" s="6" t="n"/>
      <c r="BT243" s="6" t="n"/>
      <c r="BU243" s="6" t="n"/>
      <c r="BV243" s="6" t="n"/>
      <c r="BW243" s="6" t="n"/>
      <c r="BX243" s="6" t="n"/>
      <c r="BY243" s="6" t="n"/>
      <c r="BZ243" s="6" t="n"/>
      <c r="CA243" s="6" t="n"/>
      <c r="CB243" s="6" t="n"/>
      <c r="CC243" s="6" t="n"/>
      <c r="CD243" s="6" t="n"/>
      <c r="CE243" s="6" t="n"/>
      <c r="CF243" s="6" t="n"/>
      <c r="CG243" s="6" t="n"/>
      <c r="CH243" s="6" t="n"/>
      <c r="CI243" s="6" t="n"/>
      <c r="CJ243" s="6" t="n"/>
      <c r="CK243" s="6" t="n"/>
      <c r="CL243" s="6" t="n"/>
      <c r="CM243" s="6" t="n"/>
      <c r="CN243" s="6" t="n"/>
      <c r="CO243" s="6" t="n"/>
      <c r="CP243" s="6" t="n"/>
      <c r="CQ243" s="6" t="n"/>
      <c r="CR243" s="6" t="n"/>
      <c r="CS243" s="6" t="n"/>
      <c r="CT243" s="6" t="n"/>
      <c r="CU243" s="6" t="n"/>
      <c r="CV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6" t="n"/>
      <c r="BP244" s="6" t="n"/>
      <c r="BQ244" s="6" t="n"/>
      <c r="BR244" s="6" t="n"/>
      <c r="BS244" s="6" t="n"/>
      <c r="BT244" s="6" t="n"/>
      <c r="BU244" s="6" t="n"/>
      <c r="BV244" s="6" t="n"/>
      <c r="BW244" s="6" t="n"/>
      <c r="BX244" s="6" t="n"/>
      <c r="BY244" s="6" t="n"/>
      <c r="BZ244" s="6" t="n"/>
      <c r="CA244" s="6" t="n"/>
      <c r="CB244" s="6" t="n"/>
      <c r="CC244" s="6" t="n"/>
      <c r="CD244" s="6" t="n"/>
      <c r="CE244" s="6" t="n"/>
      <c r="CF244" s="6" t="n"/>
      <c r="CG244" s="6" t="n"/>
      <c r="CH244" s="6" t="n"/>
      <c r="CI244" s="6" t="n"/>
      <c r="CJ244" s="6" t="n"/>
      <c r="CK244" s="6" t="n"/>
      <c r="CL244" s="6" t="n"/>
      <c r="CM244" s="6" t="n"/>
      <c r="CN244" s="6" t="n"/>
      <c r="CO244" s="6" t="n"/>
      <c r="CP244" s="6" t="n"/>
      <c r="CQ244" s="6" t="n"/>
      <c r="CR244" s="6" t="n"/>
      <c r="CS244" s="6" t="n"/>
      <c r="CT244" s="6" t="n"/>
      <c r="CU244" s="6" t="n"/>
      <c r="CV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6" t="n"/>
      <c r="BP245" s="6" t="n"/>
      <c r="BQ245" s="6" t="n"/>
      <c r="BR245" s="6" t="n"/>
      <c r="BS245" s="6" t="n"/>
      <c r="BT245" s="6" t="n"/>
      <c r="BU245" s="6" t="n"/>
      <c r="BV245" s="6" t="n"/>
      <c r="BW245" s="6" t="n"/>
      <c r="BX245" s="6" t="n"/>
      <c r="BY245" s="6" t="n"/>
      <c r="BZ245" s="6" t="n"/>
      <c r="CA245" s="6" t="n"/>
      <c r="CB245" s="6" t="n"/>
      <c r="CC245" s="6" t="n"/>
      <c r="CD245" s="6" t="n"/>
      <c r="CE245" s="6" t="n"/>
      <c r="CF245" s="6" t="n"/>
      <c r="CG245" s="6" t="n"/>
      <c r="CH245" s="6" t="n"/>
      <c r="CI245" s="6" t="n"/>
      <c r="CJ245" s="6" t="n"/>
      <c r="CK245" s="6" t="n"/>
      <c r="CL245" s="6" t="n"/>
      <c r="CM245" s="6" t="n"/>
      <c r="CN245" s="6" t="n"/>
      <c r="CO245" s="6" t="n"/>
      <c r="CP245" s="6" t="n"/>
      <c r="CQ245" s="6" t="n"/>
      <c r="CR245" s="6" t="n"/>
      <c r="CS245" s="6" t="n"/>
      <c r="CT245" s="6" t="n"/>
      <c r="CU245" s="6" t="n"/>
      <c r="CV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6" t="n"/>
      <c r="BP246" s="6" t="n"/>
      <c r="BQ246" s="6" t="n"/>
      <c r="BR246" s="6" t="n"/>
      <c r="BS246" s="6" t="n"/>
      <c r="BT246" s="6" t="n"/>
      <c r="BU246" s="6" t="n"/>
      <c r="BV246" s="6" t="n"/>
      <c r="BW246" s="6" t="n"/>
      <c r="BX246" s="6" t="n"/>
      <c r="BY246" s="6" t="n"/>
      <c r="BZ246" s="6" t="n"/>
      <c r="CA246" s="6" t="n"/>
      <c r="CB246" s="6" t="n"/>
      <c r="CC246" s="6" t="n"/>
      <c r="CD246" s="6" t="n"/>
      <c r="CE246" s="6" t="n"/>
      <c r="CF246" s="6" t="n"/>
      <c r="CG246" s="6" t="n"/>
      <c r="CH246" s="6" t="n"/>
      <c r="CI246" s="6" t="n"/>
      <c r="CJ246" s="6" t="n"/>
      <c r="CK246" s="6" t="n"/>
      <c r="CL246" s="6" t="n"/>
      <c r="CM246" s="6" t="n"/>
      <c r="CN246" s="6" t="n"/>
      <c r="CO246" s="6" t="n"/>
      <c r="CP246" s="6" t="n"/>
      <c r="CQ246" s="6" t="n"/>
      <c r="CR246" s="6" t="n"/>
      <c r="CS246" s="6" t="n"/>
      <c r="CT246" s="6" t="n"/>
      <c r="CU246" s="6" t="n"/>
      <c r="CV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6" t="n"/>
      <c r="BP247" s="6" t="n"/>
      <c r="BQ247" s="6" t="n"/>
      <c r="BR247" s="6" t="n"/>
      <c r="BS247" s="6" t="n"/>
      <c r="BT247" s="6" t="n"/>
      <c r="BU247" s="6" t="n"/>
      <c r="BV247" s="6" t="n"/>
      <c r="BW247" s="6" t="n"/>
      <c r="BX247" s="6" t="n"/>
      <c r="BY247" s="6" t="n"/>
      <c r="BZ247" s="6" t="n"/>
      <c r="CA247" s="6" t="n"/>
      <c r="CB247" s="6" t="n"/>
      <c r="CC247" s="6" t="n"/>
      <c r="CD247" s="6" t="n"/>
      <c r="CE247" s="6" t="n"/>
      <c r="CF247" s="6" t="n"/>
      <c r="CG247" s="6" t="n"/>
      <c r="CH247" s="6" t="n"/>
      <c r="CI247" s="6" t="n"/>
      <c r="CJ247" s="6" t="n"/>
      <c r="CK247" s="6" t="n"/>
      <c r="CL247" s="6" t="n"/>
      <c r="CM247" s="6" t="n"/>
      <c r="CN247" s="6" t="n"/>
      <c r="CO247" s="6" t="n"/>
      <c r="CP247" s="6" t="n"/>
      <c r="CQ247" s="6" t="n"/>
      <c r="CR247" s="6" t="n"/>
      <c r="CS247" s="6" t="n"/>
      <c r="CT247" s="6" t="n"/>
      <c r="CU247" s="6" t="n"/>
      <c r="CV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6" t="n"/>
      <c r="BP248" s="6" t="n"/>
      <c r="BQ248" s="6" t="n"/>
      <c r="BR248" s="6" t="n"/>
      <c r="BS248" s="6" t="n"/>
      <c r="BT248" s="6" t="n"/>
      <c r="BU248" s="6" t="n"/>
      <c r="BV248" s="6" t="n"/>
      <c r="BW248" s="6" t="n"/>
      <c r="BX248" s="6" t="n"/>
      <c r="BY248" s="6" t="n"/>
      <c r="BZ248" s="6" t="n"/>
      <c r="CA248" s="6" t="n"/>
      <c r="CB248" s="6" t="n"/>
      <c r="CC248" s="6" t="n"/>
      <c r="CD248" s="6" t="n"/>
      <c r="CE248" s="6" t="n"/>
      <c r="CF248" s="6" t="n"/>
      <c r="CG248" s="6" t="n"/>
      <c r="CH248" s="6" t="n"/>
      <c r="CI248" s="6" t="n"/>
      <c r="CJ248" s="6" t="n"/>
      <c r="CK248" s="6" t="n"/>
      <c r="CL248" s="6" t="n"/>
      <c r="CM248" s="6" t="n"/>
      <c r="CN248" s="6" t="n"/>
      <c r="CO248" s="6" t="n"/>
      <c r="CP248" s="6" t="n"/>
      <c r="CQ248" s="6" t="n"/>
      <c r="CR248" s="6" t="n"/>
      <c r="CS248" s="6" t="n"/>
      <c r="CT248" s="6" t="n"/>
      <c r="CU248" s="6" t="n"/>
      <c r="CV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n"/>
      <c r="BP249" s="6" t="n"/>
      <c r="BQ249" s="6" t="n"/>
      <c r="BR249" s="6" t="n"/>
      <c r="BS249" s="6" t="n"/>
      <c r="BT249" s="6" t="n"/>
      <c r="BU249" s="6" t="n"/>
      <c r="BV249" s="6" t="n"/>
      <c r="BW249" s="6" t="n"/>
      <c r="BX249" s="6" t="n"/>
      <c r="BY249" s="6" t="n"/>
      <c r="BZ249" s="6" t="n"/>
      <c r="CA249" s="6" t="n"/>
      <c r="CB249" s="6" t="n"/>
      <c r="CC249" s="6" t="n"/>
      <c r="CD249" s="6" t="n"/>
      <c r="CE249" s="6" t="n"/>
      <c r="CF249" s="6" t="n"/>
      <c r="CG249" s="6" t="n"/>
      <c r="CH249" s="6" t="n"/>
      <c r="CI249" s="6" t="n"/>
      <c r="CJ249" s="6" t="n"/>
      <c r="CK249" s="6" t="n"/>
      <c r="CL249" s="6" t="n"/>
      <c r="CM249" s="6" t="n"/>
      <c r="CN249" s="6" t="n"/>
      <c r="CO249" s="6" t="n"/>
      <c r="CP249" s="6" t="n"/>
      <c r="CQ249" s="6" t="n"/>
      <c r="CR249" s="6" t="n"/>
      <c r="CS249" s="6" t="n"/>
      <c r="CT249" s="6" t="n"/>
      <c r="CU249" s="6" t="n"/>
      <c r="CV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6" t="n"/>
      <c r="BP250" s="6" t="n"/>
      <c r="BQ250" s="6" t="n"/>
      <c r="BR250" s="6" t="n"/>
      <c r="BS250" s="6" t="n"/>
      <c r="BT250" s="6" t="n"/>
      <c r="BU250" s="6" t="n"/>
      <c r="BV250" s="6" t="n"/>
      <c r="BW250" s="6" t="n"/>
      <c r="BX250" s="6" t="n"/>
      <c r="BY250" s="6" t="n"/>
      <c r="BZ250" s="6" t="n"/>
      <c r="CA250" s="6" t="n"/>
      <c r="CB250" s="6" t="n"/>
      <c r="CC250" s="6" t="n"/>
      <c r="CD250" s="6" t="n"/>
      <c r="CE250" s="6" t="n"/>
      <c r="CF250" s="6" t="n"/>
      <c r="CG250" s="6" t="n"/>
      <c r="CH250" s="6" t="n"/>
      <c r="CI250" s="6" t="n"/>
      <c r="CJ250" s="6" t="n"/>
      <c r="CK250" s="6" t="n"/>
      <c r="CL250" s="6" t="n"/>
      <c r="CM250" s="6" t="n"/>
      <c r="CN250" s="6" t="n"/>
      <c r="CO250" s="6" t="n"/>
      <c r="CP250" s="6" t="n"/>
      <c r="CQ250" s="6" t="n"/>
      <c r="CR250" s="6" t="n"/>
      <c r="CS250" s="6" t="n"/>
      <c r="CT250" s="6" t="n"/>
      <c r="CU250" s="6" t="n"/>
      <c r="CV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6" t="n"/>
      <c r="BP251" s="6" t="n"/>
      <c r="BQ251" s="6" t="n"/>
      <c r="BR251" s="6" t="n"/>
      <c r="BS251" s="6" t="n"/>
      <c r="BT251" s="6" t="n"/>
      <c r="BU251" s="6" t="n"/>
      <c r="BV251" s="6" t="n"/>
      <c r="BW251" s="6" t="n"/>
      <c r="BX251" s="6" t="n"/>
      <c r="BY251" s="6" t="n"/>
      <c r="BZ251" s="6" t="n"/>
      <c r="CA251" s="6" t="n"/>
      <c r="CB251" s="6" t="n"/>
      <c r="CC251" s="6" t="n"/>
      <c r="CD251" s="6" t="n"/>
      <c r="CE251" s="6" t="n"/>
      <c r="CF251" s="6" t="n"/>
      <c r="CG251" s="6" t="n"/>
      <c r="CH251" s="6" t="n"/>
      <c r="CI251" s="6" t="n"/>
      <c r="CJ251" s="6" t="n"/>
      <c r="CK251" s="6" t="n"/>
      <c r="CL251" s="6" t="n"/>
      <c r="CM251" s="6" t="n"/>
      <c r="CN251" s="6" t="n"/>
      <c r="CO251" s="6" t="n"/>
      <c r="CP251" s="6" t="n"/>
      <c r="CQ251" s="6" t="n"/>
      <c r="CR251" s="6" t="n"/>
      <c r="CS251" s="6" t="n"/>
      <c r="CT251" s="6" t="n"/>
      <c r="CU251" s="6" t="n"/>
      <c r="CV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6" t="n"/>
      <c r="BP252" s="6" t="n"/>
      <c r="BQ252" s="6" t="n"/>
      <c r="BR252" s="6" t="n"/>
      <c r="BS252" s="6" t="n"/>
      <c r="BT252" s="6" t="n"/>
      <c r="BU252" s="6" t="n"/>
      <c r="BV252" s="6" t="n"/>
      <c r="BW252" s="6" t="n"/>
      <c r="BX252" s="6" t="n"/>
      <c r="BY252" s="6" t="n"/>
      <c r="BZ252" s="6" t="n"/>
      <c r="CA252" s="6" t="n"/>
      <c r="CB252" s="6" t="n"/>
      <c r="CC252" s="6" t="n"/>
      <c r="CD252" s="6" t="n"/>
      <c r="CE252" s="6" t="n"/>
      <c r="CF252" s="6" t="n"/>
      <c r="CG252" s="6" t="n"/>
      <c r="CH252" s="6" t="n"/>
      <c r="CI252" s="6" t="n"/>
      <c r="CJ252" s="6" t="n"/>
      <c r="CK252" s="6" t="n"/>
      <c r="CL252" s="6" t="n"/>
      <c r="CM252" s="6" t="n"/>
      <c r="CN252" s="6" t="n"/>
      <c r="CO252" s="6" t="n"/>
      <c r="CP252" s="6" t="n"/>
      <c r="CQ252" s="6" t="n"/>
      <c r="CR252" s="6" t="n"/>
      <c r="CS252" s="6" t="n"/>
      <c r="CT252" s="6" t="n"/>
      <c r="CU252" s="6" t="n"/>
      <c r="CV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c r="AB253" s="6" t="n"/>
      <c r="AC253" s="6" t="n"/>
      <c r="AD253" s="6" t="n"/>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n"/>
      <c r="BP253" s="6" t="n"/>
      <c r="BQ253" s="6" t="n"/>
      <c r="BR253" s="6" t="n"/>
      <c r="BS253" s="6" t="n"/>
      <c r="BT253" s="6" t="n"/>
      <c r="BU253" s="6" t="n"/>
      <c r="BV253" s="6" t="n"/>
      <c r="BW253" s="6" t="n"/>
      <c r="BX253" s="6" t="n"/>
      <c r="BY253" s="6" t="n"/>
      <c r="BZ253" s="6" t="n"/>
      <c r="CA253" s="6" t="n"/>
      <c r="CB253" s="6" t="n"/>
      <c r="CC253" s="6" t="n"/>
      <c r="CD253" s="6" t="n"/>
      <c r="CE253" s="6" t="n"/>
      <c r="CF253" s="6" t="n"/>
      <c r="CG253" s="6" t="n"/>
      <c r="CH253" s="6" t="n"/>
      <c r="CI253" s="6" t="n"/>
      <c r="CJ253" s="6" t="n"/>
      <c r="CK253" s="6" t="n"/>
      <c r="CL253" s="6" t="n"/>
      <c r="CM253" s="6" t="n"/>
      <c r="CN253" s="6" t="n"/>
      <c r="CO253" s="6" t="n"/>
      <c r="CP253" s="6" t="n"/>
      <c r="CQ253" s="6" t="n"/>
      <c r="CR253" s="6" t="n"/>
      <c r="CS253" s="6" t="n"/>
      <c r="CT253" s="6" t="n"/>
      <c r="CU253" s="6" t="n"/>
      <c r="CV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c r="AB254" s="6" t="n"/>
      <c r="AC254" s="6" t="n"/>
      <c r="AD254" s="6" t="n"/>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n"/>
      <c r="BP254" s="6" t="n"/>
      <c r="BQ254" s="6" t="n"/>
      <c r="BR254" s="6" t="n"/>
      <c r="BS254" s="6" t="n"/>
      <c r="BT254" s="6" t="n"/>
      <c r="BU254" s="6" t="n"/>
      <c r="BV254" s="6" t="n"/>
      <c r="BW254" s="6" t="n"/>
      <c r="BX254" s="6" t="n"/>
      <c r="BY254" s="6" t="n"/>
      <c r="BZ254" s="6" t="n"/>
      <c r="CA254" s="6" t="n"/>
      <c r="CB254" s="6" t="n"/>
      <c r="CC254" s="6" t="n"/>
      <c r="CD254" s="6" t="n"/>
      <c r="CE254" s="6" t="n"/>
      <c r="CF254" s="6" t="n"/>
      <c r="CG254" s="6" t="n"/>
      <c r="CH254" s="6" t="n"/>
      <c r="CI254" s="6" t="n"/>
      <c r="CJ254" s="6" t="n"/>
      <c r="CK254" s="6" t="n"/>
      <c r="CL254" s="6" t="n"/>
      <c r="CM254" s="6" t="n"/>
      <c r="CN254" s="6" t="n"/>
      <c r="CO254" s="6" t="n"/>
      <c r="CP254" s="6" t="n"/>
      <c r="CQ254" s="6" t="n"/>
      <c r="CR254" s="6" t="n"/>
      <c r="CS254" s="6" t="n"/>
      <c r="CT254" s="6" t="n"/>
      <c r="CU254" s="6" t="n"/>
      <c r="CV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c r="AB255" s="6" t="n"/>
      <c r="AC255" s="6" t="n"/>
      <c r="AD255" s="6" t="n"/>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6" t="n"/>
      <c r="BP255" s="6" t="n"/>
      <c r="BQ255" s="6" t="n"/>
      <c r="BR255" s="6" t="n"/>
      <c r="BS255" s="6" t="n"/>
      <c r="BT255" s="6" t="n"/>
      <c r="BU255" s="6" t="n"/>
      <c r="BV255" s="6" t="n"/>
      <c r="BW255" s="6" t="n"/>
      <c r="BX255" s="6" t="n"/>
      <c r="BY255" s="6" t="n"/>
      <c r="BZ255" s="6" t="n"/>
      <c r="CA255" s="6" t="n"/>
      <c r="CB255" s="6" t="n"/>
      <c r="CC255" s="6" t="n"/>
      <c r="CD255" s="6" t="n"/>
      <c r="CE255" s="6" t="n"/>
      <c r="CF255" s="6" t="n"/>
      <c r="CG255" s="6" t="n"/>
      <c r="CH255" s="6" t="n"/>
      <c r="CI255" s="6" t="n"/>
      <c r="CJ255" s="6" t="n"/>
      <c r="CK255" s="6" t="n"/>
      <c r="CL255" s="6" t="n"/>
      <c r="CM255" s="6" t="n"/>
      <c r="CN255" s="6" t="n"/>
      <c r="CO255" s="6" t="n"/>
      <c r="CP255" s="6" t="n"/>
      <c r="CQ255" s="6" t="n"/>
      <c r="CR255" s="6" t="n"/>
      <c r="CS255" s="6" t="n"/>
      <c r="CT255" s="6" t="n"/>
      <c r="CU255" s="6" t="n"/>
      <c r="CV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c r="AB256" s="6" t="n"/>
      <c r="AC256" s="6" t="n"/>
      <c r="AD256" s="6" t="n"/>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6" t="n"/>
      <c r="BP256" s="6" t="n"/>
      <c r="BQ256" s="6" t="n"/>
      <c r="BR256" s="6" t="n"/>
      <c r="BS256" s="6" t="n"/>
      <c r="BT256" s="6" t="n"/>
      <c r="BU256" s="6" t="n"/>
      <c r="BV256" s="6" t="n"/>
      <c r="BW256" s="6" t="n"/>
      <c r="BX256" s="6" t="n"/>
      <c r="BY256" s="6" t="n"/>
      <c r="BZ256" s="6" t="n"/>
      <c r="CA256" s="6" t="n"/>
      <c r="CB256" s="6" t="n"/>
      <c r="CC256" s="6" t="n"/>
      <c r="CD256" s="6" t="n"/>
      <c r="CE256" s="6" t="n"/>
      <c r="CF256" s="6" t="n"/>
      <c r="CG256" s="6" t="n"/>
      <c r="CH256" s="6" t="n"/>
      <c r="CI256" s="6" t="n"/>
      <c r="CJ256" s="6" t="n"/>
      <c r="CK256" s="6" t="n"/>
      <c r="CL256" s="6" t="n"/>
      <c r="CM256" s="6" t="n"/>
      <c r="CN256" s="6" t="n"/>
      <c r="CO256" s="6" t="n"/>
      <c r="CP256" s="6" t="n"/>
      <c r="CQ256" s="6" t="n"/>
      <c r="CR256" s="6" t="n"/>
      <c r="CS256" s="6" t="n"/>
      <c r="CT256" s="6" t="n"/>
      <c r="CU256" s="6" t="n"/>
      <c r="CV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c r="AB257" s="6" t="n"/>
      <c r="AC257" s="6" t="n"/>
      <c r="AD257" s="6" t="n"/>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6" t="n"/>
      <c r="BP257" s="6" t="n"/>
      <c r="BQ257" s="6" t="n"/>
      <c r="BR257" s="6" t="n"/>
      <c r="BS257" s="6" t="n"/>
      <c r="BT257" s="6" t="n"/>
      <c r="BU257" s="6" t="n"/>
      <c r="BV257" s="6" t="n"/>
      <c r="BW257" s="6" t="n"/>
      <c r="BX257" s="6" t="n"/>
      <c r="BY257" s="6" t="n"/>
      <c r="BZ257" s="6" t="n"/>
      <c r="CA257" s="6" t="n"/>
      <c r="CB257" s="6" t="n"/>
      <c r="CC257" s="6" t="n"/>
      <c r="CD257" s="6" t="n"/>
      <c r="CE257" s="6" t="n"/>
      <c r="CF257" s="6" t="n"/>
      <c r="CG257" s="6" t="n"/>
      <c r="CH257" s="6" t="n"/>
      <c r="CI257" s="6" t="n"/>
      <c r="CJ257" s="6" t="n"/>
      <c r="CK257" s="6" t="n"/>
      <c r="CL257" s="6" t="n"/>
      <c r="CM257" s="6" t="n"/>
      <c r="CN257" s="6" t="n"/>
      <c r="CO257" s="6" t="n"/>
      <c r="CP257" s="6" t="n"/>
      <c r="CQ257" s="6" t="n"/>
      <c r="CR257" s="6" t="n"/>
      <c r="CS257" s="6" t="n"/>
      <c r="CT257" s="6" t="n"/>
      <c r="CU257" s="6" t="n"/>
      <c r="CV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c r="AB258" s="6" t="n"/>
      <c r="AC258" s="6" t="n"/>
      <c r="AD258" s="6" t="n"/>
      <c r="AE258" s="6" t="n"/>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n"/>
      <c r="BP258" s="6" t="n"/>
      <c r="BQ258" s="6" t="n"/>
      <c r="BR258" s="6" t="n"/>
      <c r="BS258" s="6" t="n"/>
      <c r="BT258" s="6" t="n"/>
      <c r="BU258" s="6" t="n"/>
      <c r="BV258" s="6" t="n"/>
      <c r="BW258" s="6" t="n"/>
      <c r="BX258" s="6" t="n"/>
      <c r="BY258" s="6" t="n"/>
      <c r="BZ258" s="6" t="n"/>
      <c r="CA258" s="6" t="n"/>
      <c r="CB258" s="6" t="n"/>
      <c r="CC258" s="6" t="n"/>
      <c r="CD258" s="6" t="n"/>
      <c r="CE258" s="6" t="n"/>
      <c r="CF258" s="6" t="n"/>
      <c r="CG258" s="6" t="n"/>
      <c r="CH258" s="6" t="n"/>
      <c r="CI258" s="6" t="n"/>
      <c r="CJ258" s="6" t="n"/>
      <c r="CK258" s="6" t="n"/>
      <c r="CL258" s="6" t="n"/>
      <c r="CM258" s="6" t="n"/>
      <c r="CN258" s="6" t="n"/>
      <c r="CO258" s="6" t="n"/>
      <c r="CP258" s="6" t="n"/>
      <c r="CQ258" s="6" t="n"/>
      <c r="CR258" s="6" t="n"/>
      <c r="CS258" s="6" t="n"/>
      <c r="CT258" s="6" t="n"/>
      <c r="CU258" s="6" t="n"/>
      <c r="CV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c r="AB259" s="6" t="n"/>
      <c r="AC259" s="6" t="n"/>
      <c r="AD259" s="6" t="n"/>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6" t="n"/>
      <c r="BP259" s="6" t="n"/>
      <c r="BQ259" s="6" t="n"/>
      <c r="BR259" s="6" t="n"/>
      <c r="BS259" s="6" t="n"/>
      <c r="BT259" s="6" t="n"/>
      <c r="BU259" s="6" t="n"/>
      <c r="BV259" s="6" t="n"/>
      <c r="BW259" s="6" t="n"/>
      <c r="BX259" s="6" t="n"/>
      <c r="BY259" s="6" t="n"/>
      <c r="BZ259" s="6" t="n"/>
      <c r="CA259" s="6" t="n"/>
      <c r="CB259" s="6" t="n"/>
      <c r="CC259" s="6" t="n"/>
      <c r="CD259" s="6" t="n"/>
      <c r="CE259" s="6" t="n"/>
      <c r="CF259" s="6" t="n"/>
      <c r="CG259" s="6" t="n"/>
      <c r="CH259" s="6" t="n"/>
      <c r="CI259" s="6" t="n"/>
      <c r="CJ259" s="6" t="n"/>
      <c r="CK259" s="6" t="n"/>
      <c r="CL259" s="6" t="n"/>
      <c r="CM259" s="6" t="n"/>
      <c r="CN259" s="6" t="n"/>
      <c r="CO259" s="6" t="n"/>
      <c r="CP259" s="6" t="n"/>
      <c r="CQ259" s="6" t="n"/>
      <c r="CR259" s="6" t="n"/>
      <c r="CS259" s="6" t="n"/>
      <c r="CT259" s="6" t="n"/>
      <c r="CU259" s="6" t="n"/>
      <c r="CV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c r="AB260" s="6" t="n"/>
      <c r="AC260" s="6" t="n"/>
      <c r="AD260" s="6" t="n"/>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6" t="n"/>
      <c r="BP260" s="6" t="n"/>
      <c r="BQ260" s="6" t="n"/>
      <c r="BR260" s="6" t="n"/>
      <c r="BS260" s="6" t="n"/>
      <c r="BT260" s="6" t="n"/>
      <c r="BU260" s="6" t="n"/>
      <c r="BV260" s="6" t="n"/>
      <c r="BW260" s="6" t="n"/>
      <c r="BX260" s="6" t="n"/>
      <c r="BY260" s="6" t="n"/>
      <c r="BZ260" s="6" t="n"/>
      <c r="CA260" s="6" t="n"/>
      <c r="CB260" s="6" t="n"/>
      <c r="CC260" s="6" t="n"/>
      <c r="CD260" s="6" t="n"/>
      <c r="CE260" s="6" t="n"/>
      <c r="CF260" s="6" t="n"/>
      <c r="CG260" s="6" t="n"/>
      <c r="CH260" s="6" t="n"/>
      <c r="CI260" s="6" t="n"/>
      <c r="CJ260" s="6" t="n"/>
      <c r="CK260" s="6" t="n"/>
      <c r="CL260" s="6" t="n"/>
      <c r="CM260" s="6" t="n"/>
      <c r="CN260" s="6" t="n"/>
      <c r="CO260" s="6" t="n"/>
      <c r="CP260" s="6" t="n"/>
      <c r="CQ260" s="6" t="n"/>
      <c r="CR260" s="6" t="n"/>
      <c r="CS260" s="6" t="n"/>
      <c r="CT260" s="6" t="n"/>
      <c r="CU260" s="6" t="n"/>
      <c r="CV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c r="AB261" s="6" t="n"/>
      <c r="AC261" s="6" t="n"/>
      <c r="AD261" s="6" t="n"/>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n"/>
      <c r="BP261" s="6" t="n"/>
      <c r="BQ261" s="6" t="n"/>
      <c r="BR261" s="6" t="n"/>
      <c r="BS261" s="6" t="n"/>
      <c r="BT261" s="6" t="n"/>
      <c r="BU261" s="6" t="n"/>
      <c r="BV261" s="6" t="n"/>
      <c r="BW261" s="6" t="n"/>
      <c r="BX261" s="6" t="n"/>
      <c r="BY261" s="6" t="n"/>
      <c r="BZ261" s="6" t="n"/>
      <c r="CA261" s="6" t="n"/>
      <c r="CB261" s="6" t="n"/>
      <c r="CC261" s="6" t="n"/>
      <c r="CD261" s="6" t="n"/>
      <c r="CE261" s="6" t="n"/>
      <c r="CF261" s="6" t="n"/>
      <c r="CG261" s="6" t="n"/>
      <c r="CH261" s="6" t="n"/>
      <c r="CI261" s="6" t="n"/>
      <c r="CJ261" s="6" t="n"/>
      <c r="CK261" s="6" t="n"/>
      <c r="CL261" s="6" t="n"/>
      <c r="CM261" s="6" t="n"/>
      <c r="CN261" s="6" t="n"/>
      <c r="CO261" s="6" t="n"/>
      <c r="CP261" s="6" t="n"/>
      <c r="CQ261" s="6" t="n"/>
      <c r="CR261" s="6" t="n"/>
      <c r="CS261" s="6" t="n"/>
      <c r="CT261" s="6" t="n"/>
      <c r="CU261" s="6" t="n"/>
      <c r="CV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c r="AB262" s="6" t="n"/>
      <c r="AC262" s="6" t="n"/>
      <c r="AD262" s="6" t="n"/>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6" t="n"/>
      <c r="BP262" s="6" t="n"/>
      <c r="BQ262" s="6" t="n"/>
      <c r="BR262" s="6" t="n"/>
      <c r="BS262" s="6" t="n"/>
      <c r="BT262" s="6" t="n"/>
      <c r="BU262" s="6" t="n"/>
      <c r="BV262" s="6" t="n"/>
      <c r="BW262" s="6" t="n"/>
      <c r="BX262" s="6" t="n"/>
      <c r="BY262" s="6" t="n"/>
      <c r="BZ262" s="6" t="n"/>
      <c r="CA262" s="6" t="n"/>
      <c r="CB262" s="6" t="n"/>
      <c r="CC262" s="6" t="n"/>
      <c r="CD262" s="6" t="n"/>
      <c r="CE262" s="6" t="n"/>
      <c r="CF262" s="6" t="n"/>
      <c r="CG262" s="6" t="n"/>
      <c r="CH262" s="6" t="n"/>
      <c r="CI262" s="6" t="n"/>
      <c r="CJ262" s="6" t="n"/>
      <c r="CK262" s="6" t="n"/>
      <c r="CL262" s="6" t="n"/>
      <c r="CM262" s="6" t="n"/>
      <c r="CN262" s="6" t="n"/>
      <c r="CO262" s="6" t="n"/>
      <c r="CP262" s="6" t="n"/>
      <c r="CQ262" s="6" t="n"/>
      <c r="CR262" s="6" t="n"/>
      <c r="CS262" s="6" t="n"/>
      <c r="CT262" s="6" t="n"/>
      <c r="CU262" s="6" t="n"/>
      <c r="CV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c r="AB263" s="6" t="n"/>
      <c r="AC263" s="6" t="n"/>
      <c r="AD263" s="6" t="n"/>
      <c r="AE263" s="6" t="n"/>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n"/>
      <c r="BP263" s="6" t="n"/>
      <c r="BQ263" s="6" t="n"/>
      <c r="BR263" s="6" t="n"/>
      <c r="BS263" s="6" t="n"/>
      <c r="BT263" s="6" t="n"/>
      <c r="BU263" s="6" t="n"/>
      <c r="BV263" s="6" t="n"/>
      <c r="BW263" s="6" t="n"/>
      <c r="BX263" s="6" t="n"/>
      <c r="BY263" s="6" t="n"/>
      <c r="BZ263" s="6" t="n"/>
      <c r="CA263" s="6" t="n"/>
      <c r="CB263" s="6" t="n"/>
      <c r="CC263" s="6" t="n"/>
      <c r="CD263" s="6" t="n"/>
      <c r="CE263" s="6" t="n"/>
      <c r="CF263" s="6" t="n"/>
      <c r="CG263" s="6" t="n"/>
      <c r="CH263" s="6" t="n"/>
      <c r="CI263" s="6" t="n"/>
      <c r="CJ263" s="6" t="n"/>
      <c r="CK263" s="6" t="n"/>
      <c r="CL263" s="6" t="n"/>
      <c r="CM263" s="6" t="n"/>
      <c r="CN263" s="6" t="n"/>
      <c r="CO263" s="6" t="n"/>
      <c r="CP263" s="6" t="n"/>
      <c r="CQ263" s="6" t="n"/>
      <c r="CR263" s="6" t="n"/>
      <c r="CS263" s="6" t="n"/>
      <c r="CT263" s="6" t="n"/>
      <c r="CU263" s="6" t="n"/>
      <c r="CV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c r="AB264" s="6" t="n"/>
      <c r="AC264" s="6" t="n"/>
      <c r="AD264" s="6" t="n"/>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6" t="n"/>
      <c r="BP264" s="6" t="n"/>
      <c r="BQ264" s="6" t="n"/>
      <c r="BR264" s="6" t="n"/>
      <c r="BS264" s="6" t="n"/>
      <c r="BT264" s="6" t="n"/>
      <c r="BU264" s="6" t="n"/>
      <c r="BV264" s="6" t="n"/>
      <c r="BW264" s="6" t="n"/>
      <c r="BX264" s="6" t="n"/>
      <c r="BY264" s="6" t="n"/>
      <c r="BZ264" s="6" t="n"/>
      <c r="CA264" s="6" t="n"/>
      <c r="CB264" s="6" t="n"/>
      <c r="CC264" s="6" t="n"/>
      <c r="CD264" s="6" t="n"/>
      <c r="CE264" s="6" t="n"/>
      <c r="CF264" s="6" t="n"/>
      <c r="CG264" s="6" t="n"/>
      <c r="CH264" s="6" t="n"/>
      <c r="CI264" s="6" t="n"/>
      <c r="CJ264" s="6" t="n"/>
      <c r="CK264" s="6" t="n"/>
      <c r="CL264" s="6" t="n"/>
      <c r="CM264" s="6" t="n"/>
      <c r="CN264" s="6" t="n"/>
      <c r="CO264" s="6" t="n"/>
      <c r="CP264" s="6" t="n"/>
      <c r="CQ264" s="6" t="n"/>
      <c r="CR264" s="6" t="n"/>
      <c r="CS264" s="6" t="n"/>
      <c r="CT264" s="6" t="n"/>
      <c r="CU264" s="6" t="n"/>
      <c r="CV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c r="AB265" s="6" t="n"/>
      <c r="AC265" s="6" t="n"/>
      <c r="AD265" s="6" t="n"/>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6" t="n"/>
      <c r="BP265" s="6" t="n"/>
      <c r="BQ265" s="6" t="n"/>
      <c r="BR265" s="6" t="n"/>
      <c r="BS265" s="6" t="n"/>
      <c r="BT265" s="6" t="n"/>
      <c r="BU265" s="6" t="n"/>
      <c r="BV265" s="6" t="n"/>
      <c r="BW265" s="6" t="n"/>
      <c r="BX265" s="6" t="n"/>
      <c r="BY265" s="6" t="n"/>
      <c r="BZ265" s="6" t="n"/>
      <c r="CA265" s="6" t="n"/>
      <c r="CB265" s="6" t="n"/>
      <c r="CC265" s="6" t="n"/>
      <c r="CD265" s="6" t="n"/>
      <c r="CE265" s="6" t="n"/>
      <c r="CF265" s="6" t="n"/>
      <c r="CG265" s="6" t="n"/>
      <c r="CH265" s="6" t="n"/>
      <c r="CI265" s="6" t="n"/>
      <c r="CJ265" s="6" t="n"/>
      <c r="CK265" s="6" t="n"/>
      <c r="CL265" s="6" t="n"/>
      <c r="CM265" s="6" t="n"/>
      <c r="CN265" s="6" t="n"/>
      <c r="CO265" s="6" t="n"/>
      <c r="CP265" s="6" t="n"/>
      <c r="CQ265" s="6" t="n"/>
      <c r="CR265" s="6" t="n"/>
      <c r="CS265" s="6" t="n"/>
      <c r="CT265" s="6" t="n"/>
      <c r="CU265" s="6" t="n"/>
      <c r="CV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c r="AB266" s="6" t="n"/>
      <c r="AC266" s="6" t="n"/>
      <c r="AD266" s="6" t="n"/>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6" t="n"/>
      <c r="BP266" s="6" t="n"/>
      <c r="BQ266" s="6" t="n"/>
      <c r="BR266" s="6" t="n"/>
      <c r="BS266" s="6" t="n"/>
      <c r="BT266" s="6" t="n"/>
      <c r="BU266" s="6" t="n"/>
      <c r="BV266" s="6" t="n"/>
      <c r="BW266" s="6" t="n"/>
      <c r="BX266" s="6" t="n"/>
      <c r="BY266" s="6" t="n"/>
      <c r="BZ266" s="6" t="n"/>
      <c r="CA266" s="6" t="n"/>
      <c r="CB266" s="6" t="n"/>
      <c r="CC266" s="6" t="n"/>
      <c r="CD266" s="6" t="n"/>
      <c r="CE266" s="6" t="n"/>
      <c r="CF266" s="6" t="n"/>
      <c r="CG266" s="6" t="n"/>
      <c r="CH266" s="6" t="n"/>
      <c r="CI266" s="6" t="n"/>
      <c r="CJ266" s="6" t="n"/>
      <c r="CK266" s="6" t="n"/>
      <c r="CL266" s="6" t="n"/>
      <c r="CM266" s="6" t="n"/>
      <c r="CN266" s="6" t="n"/>
      <c r="CO266" s="6" t="n"/>
      <c r="CP266" s="6" t="n"/>
      <c r="CQ266" s="6" t="n"/>
      <c r="CR266" s="6" t="n"/>
      <c r="CS266" s="6" t="n"/>
      <c r="CT266" s="6" t="n"/>
      <c r="CU266" s="6" t="n"/>
      <c r="CV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c r="AB267" s="6" t="n"/>
      <c r="AC267" s="6" t="n"/>
      <c r="AD267" s="6" t="n"/>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6" t="n"/>
      <c r="BP267" s="6" t="n"/>
      <c r="BQ267" s="6" t="n"/>
      <c r="BR267" s="6" t="n"/>
      <c r="BS267" s="6" t="n"/>
      <c r="BT267" s="6" t="n"/>
      <c r="BU267" s="6" t="n"/>
      <c r="BV267" s="6" t="n"/>
      <c r="BW267" s="6" t="n"/>
      <c r="BX267" s="6" t="n"/>
      <c r="BY267" s="6" t="n"/>
      <c r="BZ267" s="6" t="n"/>
      <c r="CA267" s="6" t="n"/>
      <c r="CB267" s="6" t="n"/>
      <c r="CC267" s="6" t="n"/>
      <c r="CD267" s="6" t="n"/>
      <c r="CE267" s="6" t="n"/>
      <c r="CF267" s="6" t="n"/>
      <c r="CG267" s="6" t="n"/>
      <c r="CH267" s="6" t="n"/>
      <c r="CI267" s="6" t="n"/>
      <c r="CJ267" s="6" t="n"/>
      <c r="CK267" s="6" t="n"/>
      <c r="CL267" s="6" t="n"/>
      <c r="CM267" s="6" t="n"/>
      <c r="CN267" s="6" t="n"/>
      <c r="CO267" s="6" t="n"/>
      <c r="CP267" s="6" t="n"/>
      <c r="CQ267" s="6" t="n"/>
      <c r="CR267" s="6" t="n"/>
      <c r="CS267" s="6" t="n"/>
      <c r="CT267" s="6" t="n"/>
      <c r="CU267" s="6" t="n"/>
      <c r="CV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c r="AB268" s="6" t="n"/>
      <c r="AC268" s="6" t="n"/>
      <c r="AD268" s="6" t="n"/>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n"/>
      <c r="BP268" s="6" t="n"/>
      <c r="BQ268" s="6" t="n"/>
      <c r="BR268" s="6" t="n"/>
      <c r="BS268" s="6" t="n"/>
      <c r="BT268" s="6" t="n"/>
      <c r="BU268" s="6" t="n"/>
      <c r="BV268" s="6" t="n"/>
      <c r="BW268" s="6" t="n"/>
      <c r="BX268" s="6" t="n"/>
      <c r="BY268" s="6" t="n"/>
      <c r="BZ268" s="6" t="n"/>
      <c r="CA268" s="6" t="n"/>
      <c r="CB268" s="6" t="n"/>
      <c r="CC268" s="6" t="n"/>
      <c r="CD268" s="6" t="n"/>
      <c r="CE268" s="6" t="n"/>
      <c r="CF268" s="6" t="n"/>
      <c r="CG268" s="6" t="n"/>
      <c r="CH268" s="6" t="n"/>
      <c r="CI268" s="6" t="n"/>
      <c r="CJ268" s="6" t="n"/>
      <c r="CK268" s="6" t="n"/>
      <c r="CL268" s="6" t="n"/>
      <c r="CM268" s="6" t="n"/>
      <c r="CN268" s="6" t="n"/>
      <c r="CO268" s="6" t="n"/>
      <c r="CP268" s="6" t="n"/>
      <c r="CQ268" s="6" t="n"/>
      <c r="CR268" s="6" t="n"/>
      <c r="CS268" s="6" t="n"/>
      <c r="CT268" s="6" t="n"/>
      <c r="CU268" s="6" t="n"/>
      <c r="CV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c r="AB269" s="6" t="n"/>
      <c r="AC269" s="6" t="n"/>
      <c r="AD269" s="6" t="n"/>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n"/>
      <c r="BP269" s="6" t="n"/>
      <c r="BQ269" s="6" t="n"/>
      <c r="BR269" s="6" t="n"/>
      <c r="BS269" s="6" t="n"/>
      <c r="BT269" s="6" t="n"/>
      <c r="BU269" s="6" t="n"/>
      <c r="BV269" s="6" t="n"/>
      <c r="BW269" s="6" t="n"/>
      <c r="BX269" s="6" t="n"/>
      <c r="BY269" s="6" t="n"/>
      <c r="BZ269" s="6" t="n"/>
      <c r="CA269" s="6" t="n"/>
      <c r="CB269" s="6" t="n"/>
      <c r="CC269" s="6" t="n"/>
      <c r="CD269" s="6" t="n"/>
      <c r="CE269" s="6" t="n"/>
      <c r="CF269" s="6" t="n"/>
      <c r="CG269" s="6" t="n"/>
      <c r="CH269" s="6" t="n"/>
      <c r="CI269" s="6" t="n"/>
      <c r="CJ269" s="6" t="n"/>
      <c r="CK269" s="6" t="n"/>
      <c r="CL269" s="6" t="n"/>
      <c r="CM269" s="6" t="n"/>
      <c r="CN269" s="6" t="n"/>
      <c r="CO269" s="6" t="n"/>
      <c r="CP269" s="6" t="n"/>
      <c r="CQ269" s="6" t="n"/>
      <c r="CR269" s="6" t="n"/>
      <c r="CS269" s="6" t="n"/>
      <c r="CT269" s="6" t="n"/>
      <c r="CU269" s="6" t="n"/>
      <c r="CV269" s="6"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2:GX6"/>
  <sheetViews>
    <sheetView zoomScale="113" workbookViewId="0">
      <pane xSplit="2" ySplit="2" topLeftCell="C3" activePane="bottomRight" state="frozen"/>
      <selection activeCell="A3" sqref="A3"/>
      <selection pane="topRight" activeCell="A3" sqref="A3"/>
      <selection pane="bottomLeft" activeCell="A3" sqref="A3"/>
      <selection pane="bottomRight" activeCell="C6" sqref="C6"/>
    </sheetView>
  </sheetViews>
  <sheetFormatPr baseColWidth="10" defaultRowHeight="14.4"/>
  <cols>
    <col width="15.77734375" customWidth="1" min="1" max="206"/>
  </cols>
  <sheetData>
    <row r="2" ht="43.2" customFormat="1" customHeight="1" s="16">
      <c r="A2" s="15" t="inlineStr">
        <is>
          <t>Prénom du sujet</t>
        </is>
      </c>
      <c r="B2" s="15" t="inlineStr">
        <is>
          <t>Nom du sujet</t>
        </is>
      </c>
      <c r="C2" s="28" t="inlineStr">
        <is>
          <t>Communication</t>
        </is>
      </c>
      <c r="D2" s="28" t="inlineStr">
        <is>
          <t>Esprit critique</t>
        </is>
      </c>
      <c r="E2" s="28" t="inlineStr">
        <is>
          <t>Ethique</t>
        </is>
      </c>
      <c r="F2" s="28" t="inlineStr">
        <is>
          <t>Intelligence émotionnelle</t>
        </is>
      </c>
      <c r="G2" s="28" t="inlineStr">
        <is>
          <t>Intelligence sociale</t>
        </is>
      </c>
      <c r="H2" s="28" t="inlineStr">
        <is>
          <t>Management de projet</t>
        </is>
      </c>
      <c r="I2" s="28" t="inlineStr">
        <is>
          <t>Management et gestion d'équipe</t>
        </is>
      </c>
      <c r="J2" s="28" t="inlineStr">
        <is>
          <t>Organisation</t>
        </is>
      </c>
      <c r="K2" s="15" t="inlineStr">
        <is>
          <t>Assertivité</t>
        </is>
      </c>
      <c r="L2" s="15" t="inlineStr">
        <is>
          <t>Communication à distance</t>
        </is>
      </c>
      <c r="M2" s="15" t="inlineStr">
        <is>
          <t>Communication écrite</t>
        </is>
      </c>
      <c r="N2" s="15" t="inlineStr">
        <is>
          <t>L’audace (ou le culot)</t>
        </is>
      </c>
      <c r="O2" s="15" t="inlineStr">
        <is>
          <t>L’enthousiasme et le dynamisme</t>
        </is>
      </c>
      <c r="P2" s="15" t="inlineStr">
        <is>
          <t>L’optimisme</t>
        </is>
      </c>
      <c r="Q2" s="15" t="inlineStr">
        <is>
          <t>La clarté de communication</t>
        </is>
      </c>
      <c r="R2" s="15" t="inlineStr">
        <is>
          <t>La diplomatie</t>
        </is>
      </c>
      <c r="S2" s="15" t="inlineStr">
        <is>
          <t>La négociation</t>
        </is>
      </c>
      <c r="T2" s="15" t="inlineStr">
        <is>
          <t>La persuasion</t>
        </is>
      </c>
      <c r="U2" s="15" t="inlineStr">
        <is>
          <t>La posture ou la communication non verbale</t>
        </is>
      </c>
      <c r="V2" s="15" t="inlineStr">
        <is>
          <t>L'argumentation</t>
        </is>
      </c>
      <c r="W2" s="15" t="inlineStr">
        <is>
          <t>Prestance</t>
        </is>
      </c>
      <c r="X2" s="15" t="inlineStr">
        <is>
          <t>Prise de parole en public</t>
        </is>
      </c>
      <c r="Y2" s="15" t="inlineStr">
        <is>
          <t>Rhétorique ou storytelling</t>
        </is>
      </c>
      <c r="Z2" s="15" t="inlineStr">
        <is>
          <t>Actualisation des connaissances</t>
        </is>
      </c>
      <c r="AA2" s="15" t="inlineStr">
        <is>
          <t>L’acuité et le discernement</t>
        </is>
      </c>
      <c r="AB2" s="15" t="inlineStr">
        <is>
          <t>L’humour</t>
        </is>
      </c>
      <c r="AC2" s="15" t="inlineStr">
        <is>
          <t>L’ouverture d'esprit</t>
        </is>
      </c>
      <c r="AD2" s="15" t="inlineStr">
        <is>
          <t>La créativité ou l'imagination</t>
        </is>
      </c>
      <c r="AE2" s="15" t="inlineStr">
        <is>
          <t>La curiosité</t>
        </is>
      </c>
      <c r="AF2" s="15" t="inlineStr">
        <is>
          <t>La pensée logique</t>
        </is>
      </c>
      <c r="AG2" s="15" t="inlineStr">
        <is>
          <t>La rigueur (travail)</t>
        </is>
      </c>
      <c r="AH2" s="15" t="inlineStr">
        <is>
          <t>Le sens artistique</t>
        </is>
      </c>
      <c r="AI2" s="15" t="inlineStr">
        <is>
          <t>L'innovation</t>
        </is>
      </c>
      <c r="AJ2" s="15" t="inlineStr">
        <is>
          <t>Pensée critique</t>
        </is>
      </c>
      <c r="AK2" s="15" t="inlineStr">
        <is>
          <t>Penser "out of the box"</t>
        </is>
      </c>
      <c r="AL2" s="15" t="inlineStr">
        <is>
          <t>Résolution des problèmes</t>
        </is>
      </c>
      <c r="AM2" s="15" t="inlineStr">
        <is>
          <t>Savoir rechercher pour résoudre un problème</t>
        </is>
      </c>
      <c r="AN2" s="15" t="inlineStr">
        <is>
          <t>Fiabilité</t>
        </is>
      </c>
      <c r="AO2" s="15" t="inlineStr">
        <is>
          <t>L’honnêteté</t>
        </is>
      </c>
      <c r="AP2" s="15" t="inlineStr">
        <is>
          <t>L’intégrité</t>
        </is>
      </c>
      <c r="AQ2" s="15" t="inlineStr">
        <is>
          <t>La conscience professionnelle</t>
        </is>
      </c>
      <c r="AR2" s="15" t="inlineStr">
        <is>
          <t>La courtoisie, la cordialité, l’amabilité</t>
        </is>
      </c>
      <c r="AS2" s="15" t="inlineStr">
        <is>
          <t>La loyauté</t>
        </is>
      </c>
      <c r="AT2" s="15" t="inlineStr">
        <is>
          <t>La respectabilité, la dignité, l'honneur</t>
        </is>
      </c>
      <c r="AU2" s="15" t="inlineStr">
        <is>
          <t>Le sens des responsabilité</t>
        </is>
      </c>
      <c r="AV2" s="15" t="inlineStr">
        <is>
          <t>Le sens du sacrifice</t>
        </is>
      </c>
      <c r="AW2" s="15" t="inlineStr">
        <is>
          <t>L'éco-responsabilité</t>
        </is>
      </c>
      <c r="AX2" s="15" t="inlineStr">
        <is>
          <t>L'engagement</t>
        </is>
      </c>
      <c r="AY2" s="15" t="inlineStr">
        <is>
          <t>Ponctualité</t>
        </is>
      </c>
      <c r="AZ2" s="15" t="inlineStr">
        <is>
          <t>Respect des autres (doublon tolérance)</t>
        </is>
      </c>
      <c r="BA2" s="15" t="inlineStr">
        <is>
          <t>Acceptation des retours et critiques</t>
        </is>
      </c>
      <c r="BB2" s="15" t="inlineStr">
        <is>
          <t>Equanimité</t>
        </is>
      </c>
      <c r="BC2" s="15" t="inlineStr">
        <is>
          <t>Introspection</t>
        </is>
      </c>
      <c r="BD2" s="15" t="inlineStr">
        <is>
          <t>L’authenticité ou la sincérité.</t>
        </is>
      </c>
      <c r="BE2" s="15" t="inlineStr">
        <is>
          <t>L’empathie</t>
        </is>
      </c>
      <c r="BF2" s="15" t="inlineStr">
        <is>
          <t>L’humilité</t>
        </is>
      </c>
      <c r="BG2" s="15" t="inlineStr">
        <is>
          <t>La bienveillance</t>
        </is>
      </c>
      <c r="BH2" s="15" t="inlineStr">
        <is>
          <t>La compassion</t>
        </is>
      </c>
      <c r="BI2" s="15" t="inlineStr">
        <is>
          <t>La confiance aux autres</t>
        </is>
      </c>
      <c r="BJ2" s="15" t="inlineStr">
        <is>
          <t>La confiance en soi</t>
        </is>
      </c>
      <c r="BK2" s="15" t="inlineStr">
        <is>
          <t>La gestion du stress</t>
        </is>
      </c>
      <c r="BL2" s="15" t="inlineStr">
        <is>
          <t>La maitrise de soi</t>
        </is>
      </c>
      <c r="BM2" s="15" t="inlineStr">
        <is>
          <t>La reconnaissance ou considération</t>
        </is>
      </c>
      <c r="BN2" s="15" t="inlineStr">
        <is>
          <t>La résilience</t>
        </is>
      </c>
      <c r="BO2" s="15" t="inlineStr">
        <is>
          <t>La sensibilité</t>
        </is>
      </c>
      <c r="BP2" s="15" t="inlineStr">
        <is>
          <t>Aisance relationnelle</t>
        </is>
      </c>
      <c r="BQ2" s="15" t="inlineStr">
        <is>
          <t>Altruisme</t>
        </is>
      </c>
      <c r="BR2" s="15" t="inlineStr">
        <is>
          <t>Esprit d'équipe</t>
        </is>
      </c>
      <c r="BS2" s="15" t="inlineStr">
        <is>
          <t>Intelligence culturelle</t>
        </is>
      </c>
      <c r="BT2" s="15" t="inlineStr">
        <is>
          <t>L’interaction avec les autres</t>
        </is>
      </c>
      <c r="BU2" s="15" t="inlineStr">
        <is>
          <t>La coopération, la collaboration</t>
        </is>
      </c>
      <c r="BV2" s="15" t="inlineStr">
        <is>
          <t>La présence ou l'aura</t>
        </is>
      </c>
      <c r="BW2" s="15" t="inlineStr">
        <is>
          <t>La tolérance</t>
        </is>
      </c>
      <c r="BX2" s="15" t="inlineStr">
        <is>
          <t>Le networking</t>
        </is>
      </c>
      <c r="BY2" s="15" t="inlineStr">
        <is>
          <t>Le partage d'idées</t>
        </is>
      </c>
      <c r="BZ2" s="15" t="inlineStr">
        <is>
          <t>Sociabilité</t>
        </is>
      </c>
      <c r="CA2" s="15" t="inlineStr">
        <is>
          <t>L’Autonomie</t>
        </is>
      </c>
      <c r="CB2" s="15" t="inlineStr">
        <is>
          <t>La délégation de taches</t>
        </is>
      </c>
      <c r="CC2" s="15" t="inlineStr">
        <is>
          <t>La facilitation</t>
        </is>
      </c>
      <c r="CD2" s="15" t="inlineStr">
        <is>
          <t>La gestion des risques</t>
        </is>
      </c>
      <c r="CE2" s="15" t="inlineStr">
        <is>
          <t>La prise de décision</t>
        </is>
      </c>
      <c r="CF2" s="15" t="inlineStr">
        <is>
          <t>La supervision</t>
        </is>
      </c>
      <c r="CG2" s="15" t="inlineStr">
        <is>
          <t>La tolérance au changement</t>
        </is>
      </c>
      <c r="CH2" s="15" t="inlineStr">
        <is>
          <t>L'agilité cognitive</t>
        </is>
      </c>
      <c r="CI2" s="15" t="inlineStr">
        <is>
          <t>Equité</t>
        </is>
      </c>
      <c r="CJ2" s="15" t="inlineStr">
        <is>
          <t>Gérer et résoudre les conflits</t>
        </is>
      </c>
      <c r="CK2" s="15" t="inlineStr">
        <is>
          <t>Gérer les équipes à distances</t>
        </is>
      </c>
      <c r="CL2" s="15" t="inlineStr">
        <is>
          <t>Inclusivité</t>
        </is>
      </c>
      <c r="CM2" s="15" t="inlineStr">
        <is>
          <t>L’esprit d’initiative</t>
        </is>
      </c>
      <c r="CN2" s="15" t="inlineStr">
        <is>
          <t>La valorisation ou l'encouragement</t>
        </is>
      </c>
      <c r="CO2" s="15" t="inlineStr">
        <is>
          <t>Le charisme</t>
        </is>
      </c>
      <c r="CP2" s="15" t="inlineStr">
        <is>
          <t>Le coaching des autres</t>
        </is>
      </c>
      <c r="CQ2" s="15" t="inlineStr">
        <is>
          <t>Leadership</t>
        </is>
      </c>
      <c r="CR2" s="15" t="inlineStr">
        <is>
          <t>L’auto-formation</t>
        </is>
      </c>
      <c r="CS2" s="15" t="inlineStr">
        <is>
          <t>La concentration</t>
        </is>
      </c>
      <c r="CT2" s="15" t="inlineStr">
        <is>
          <t>La fixation d'objectifs</t>
        </is>
      </c>
      <c r="CU2" s="15" t="inlineStr">
        <is>
          <t>La gestion des ressources</t>
        </is>
      </c>
      <c r="CV2" s="15" t="inlineStr">
        <is>
          <t>La gestion du temps</t>
        </is>
      </c>
      <c r="CW2" s="15" t="inlineStr">
        <is>
          <t>La hiérarchisation et la priorisation</t>
        </is>
      </c>
      <c r="CX2" s="15" t="inlineStr">
        <is>
          <t>La patiente</t>
        </is>
      </c>
      <c r="CY2" s="15" t="inlineStr">
        <is>
          <t>La persévérance</t>
        </is>
      </c>
      <c r="CZ2" s="15" t="inlineStr">
        <is>
          <t>La planification</t>
        </is>
      </c>
      <c r="DA2" s="15" t="inlineStr">
        <is>
          <t>La ponctualité</t>
        </is>
      </c>
      <c r="DB2" s="15" t="inlineStr">
        <is>
          <t>La recherche d'efficacité</t>
        </is>
      </c>
      <c r="DC2" s="15" t="inlineStr">
        <is>
          <t>La visualisation</t>
        </is>
      </c>
      <c r="DD2" s="15" t="inlineStr">
        <is>
          <t>Le respect des délais</t>
        </is>
      </c>
      <c r="DE2" s="29" t="inlineStr">
        <is>
          <t>Assertivité</t>
        </is>
      </c>
      <c r="DF2" s="29" t="inlineStr">
        <is>
          <t>Communication à distance</t>
        </is>
      </c>
      <c r="DG2" s="29" t="inlineStr">
        <is>
          <t>Communication écrite</t>
        </is>
      </c>
      <c r="DH2" s="29" t="inlineStr">
        <is>
          <t>L’audace (ou le culot)</t>
        </is>
      </c>
      <c r="DI2" s="29" t="inlineStr">
        <is>
          <t>L’enthousiasme et le dynamisme</t>
        </is>
      </c>
      <c r="DJ2" s="29" t="inlineStr">
        <is>
          <t>L’optimisme</t>
        </is>
      </c>
      <c r="DK2" s="29" t="inlineStr">
        <is>
          <t>La clarté de communication</t>
        </is>
      </c>
      <c r="DL2" s="29" t="inlineStr">
        <is>
          <t>La diplomatie</t>
        </is>
      </c>
      <c r="DM2" s="29" t="inlineStr">
        <is>
          <t>La négociation</t>
        </is>
      </c>
      <c r="DN2" s="29" t="inlineStr">
        <is>
          <t>La persuasion</t>
        </is>
      </c>
      <c r="DO2" s="29" t="inlineStr">
        <is>
          <t>La posture ou la communication non verbale</t>
        </is>
      </c>
      <c r="DP2" s="29" t="inlineStr">
        <is>
          <t>L'argumentation</t>
        </is>
      </c>
      <c r="DQ2" s="29" t="inlineStr">
        <is>
          <t>Prestance</t>
        </is>
      </c>
      <c r="DR2" s="29" t="inlineStr">
        <is>
          <t>Prise de parole en public</t>
        </is>
      </c>
      <c r="DS2" s="29" t="inlineStr">
        <is>
          <t>Rhétorique ou storytelling</t>
        </is>
      </c>
      <c r="DT2" s="29" t="inlineStr">
        <is>
          <t>Actualisation des connaissances</t>
        </is>
      </c>
      <c r="DU2" s="29" t="inlineStr">
        <is>
          <t>L’acuité et le discernement</t>
        </is>
      </c>
      <c r="DV2" s="29" t="inlineStr">
        <is>
          <t>L’humour</t>
        </is>
      </c>
      <c r="DW2" s="29" t="inlineStr">
        <is>
          <t>L’ouverture d'esprit</t>
        </is>
      </c>
      <c r="DX2" s="29" t="inlineStr">
        <is>
          <t>La créativité ou l'imagination</t>
        </is>
      </c>
      <c r="DY2" s="29" t="inlineStr">
        <is>
          <t>La curiosité</t>
        </is>
      </c>
      <c r="DZ2" s="29" t="inlineStr">
        <is>
          <t>La pensée logique</t>
        </is>
      </c>
      <c r="EA2" s="29" t="inlineStr">
        <is>
          <t>La rigueur (travail)</t>
        </is>
      </c>
      <c r="EB2" s="29" t="inlineStr">
        <is>
          <t>Le sens artistique</t>
        </is>
      </c>
      <c r="EC2" s="29" t="inlineStr">
        <is>
          <t>L'innovation</t>
        </is>
      </c>
      <c r="ED2" s="29" t="inlineStr">
        <is>
          <t>Pensée critique</t>
        </is>
      </c>
      <c r="EE2" s="29" t="inlineStr">
        <is>
          <t>Penser "out of the box"</t>
        </is>
      </c>
      <c r="EF2" s="29" t="inlineStr">
        <is>
          <t>Résolution des problèmes</t>
        </is>
      </c>
      <c r="EG2" s="29" t="inlineStr">
        <is>
          <t>rechercher pour résoudre un problème</t>
        </is>
      </c>
      <c r="EH2" s="29" t="inlineStr">
        <is>
          <t>Fiabilité</t>
        </is>
      </c>
      <c r="EI2" s="29" t="inlineStr">
        <is>
          <t>L’honnêteté</t>
        </is>
      </c>
      <c r="EJ2" s="29" t="inlineStr">
        <is>
          <t>L’intégrité</t>
        </is>
      </c>
      <c r="EK2" s="29" t="inlineStr">
        <is>
          <t>La conscience professionnelle</t>
        </is>
      </c>
      <c r="EL2" s="29" t="inlineStr">
        <is>
          <t>La courtoisie</t>
        </is>
      </c>
      <c r="EM2" s="29" t="inlineStr">
        <is>
          <t>La loyauté</t>
        </is>
      </c>
      <c r="EN2" s="29" t="inlineStr">
        <is>
          <t>La respectabilité, l'honneur</t>
        </is>
      </c>
      <c r="EO2" s="29" t="inlineStr">
        <is>
          <t>Le sens des responsabilité</t>
        </is>
      </c>
      <c r="EP2" s="29" t="inlineStr">
        <is>
          <t>Le sens du sacrifice</t>
        </is>
      </c>
      <c r="EQ2" s="29" t="inlineStr">
        <is>
          <t>L'éco-responsabilité</t>
        </is>
      </c>
      <c r="ER2" s="29" t="inlineStr">
        <is>
          <t>L'engagement</t>
        </is>
      </c>
      <c r="ES2" s="29" t="inlineStr">
        <is>
          <t>Ponctualité</t>
        </is>
      </c>
      <c r="ET2" s="29" t="inlineStr">
        <is>
          <t>Respect des autres (doublon tolérance)</t>
        </is>
      </c>
      <c r="EU2" s="29" t="inlineStr">
        <is>
          <t>Acceptation des retours et critiques</t>
        </is>
      </c>
      <c r="EV2" s="29" t="inlineStr">
        <is>
          <t>Equanimité</t>
        </is>
      </c>
      <c r="EW2" s="29" t="inlineStr">
        <is>
          <t>Introspection</t>
        </is>
      </c>
      <c r="EX2" s="29" t="inlineStr">
        <is>
          <t>L’authenticité ou la sincérité.</t>
        </is>
      </c>
      <c r="EY2" s="29" t="inlineStr">
        <is>
          <t>L’empathie</t>
        </is>
      </c>
      <c r="EZ2" s="29" t="inlineStr">
        <is>
          <t>L’humilité</t>
        </is>
      </c>
      <c r="FA2" s="29" t="inlineStr">
        <is>
          <t>La bienveillance</t>
        </is>
      </c>
      <c r="FB2" s="29" t="inlineStr">
        <is>
          <t>La compassion</t>
        </is>
      </c>
      <c r="FC2" s="29" t="inlineStr">
        <is>
          <t>La confiance aux autres</t>
        </is>
      </c>
      <c r="FD2" s="29" t="inlineStr">
        <is>
          <t>La confiance en soi</t>
        </is>
      </c>
      <c r="FE2" s="29" t="inlineStr">
        <is>
          <t>La gestion du stress</t>
        </is>
      </c>
      <c r="FF2" s="29" t="inlineStr">
        <is>
          <t>La maitrise de soi</t>
        </is>
      </c>
      <c r="FG2" s="29" t="inlineStr">
        <is>
          <t>La reconnaissance ou considération</t>
        </is>
      </c>
      <c r="FH2" s="29" t="inlineStr">
        <is>
          <t>La résilience</t>
        </is>
      </c>
      <c r="FI2" s="29" t="inlineStr">
        <is>
          <t>La sensibilité</t>
        </is>
      </c>
      <c r="FJ2" s="29" t="inlineStr">
        <is>
          <t>Aisance relationnelle</t>
        </is>
      </c>
      <c r="FK2" s="29" t="inlineStr">
        <is>
          <t>Altruisme</t>
        </is>
      </c>
      <c r="FL2" s="29" t="inlineStr">
        <is>
          <t>Esprit d'équipe</t>
        </is>
      </c>
      <c r="FM2" s="29" t="inlineStr">
        <is>
          <t>Intelligence culturelle</t>
        </is>
      </c>
      <c r="FN2" s="29" t="inlineStr">
        <is>
          <t>L’interaction avec les autres</t>
        </is>
      </c>
      <c r="FO2" s="29" t="inlineStr">
        <is>
          <t>La coopération, la collaboration</t>
        </is>
      </c>
      <c r="FP2" s="29" t="inlineStr">
        <is>
          <t>La présence ou l'aura</t>
        </is>
      </c>
      <c r="FQ2" s="29" t="inlineStr">
        <is>
          <t>La tolérance</t>
        </is>
      </c>
      <c r="FR2" s="29" t="inlineStr">
        <is>
          <t>Le networking</t>
        </is>
      </c>
      <c r="FS2" s="29" t="inlineStr">
        <is>
          <t>Le partage d'idées</t>
        </is>
      </c>
      <c r="FT2" s="29" t="inlineStr">
        <is>
          <t>Sociabilité</t>
        </is>
      </c>
      <c r="FU2" s="29" t="inlineStr">
        <is>
          <t>L’Autonomie</t>
        </is>
      </c>
      <c r="FV2" s="29" t="inlineStr">
        <is>
          <t>La délégation de taches</t>
        </is>
      </c>
      <c r="FW2" s="29" t="inlineStr">
        <is>
          <t>La facilitation</t>
        </is>
      </c>
      <c r="FX2" s="29" t="inlineStr">
        <is>
          <t>La gestion des risques</t>
        </is>
      </c>
      <c r="FY2" s="29" t="inlineStr">
        <is>
          <t>La prise de décision</t>
        </is>
      </c>
      <c r="FZ2" s="29" t="inlineStr">
        <is>
          <t>La supervision</t>
        </is>
      </c>
      <c r="GA2" s="29" t="inlineStr">
        <is>
          <t>La tolérance au changement</t>
        </is>
      </c>
      <c r="GB2" s="29" t="inlineStr">
        <is>
          <t>L'agilité cognitive</t>
        </is>
      </c>
      <c r="GC2" s="29" t="inlineStr">
        <is>
          <t>Equité</t>
        </is>
      </c>
      <c r="GD2" s="29" t="inlineStr">
        <is>
          <t>Gérer et résoudre les conflits</t>
        </is>
      </c>
      <c r="GE2" s="29" t="inlineStr">
        <is>
          <t>Gérer les équipes à distances</t>
        </is>
      </c>
      <c r="GF2" s="29" t="inlineStr">
        <is>
          <t>Inclusivité</t>
        </is>
      </c>
      <c r="GG2" s="29" t="inlineStr">
        <is>
          <t>L’esprit d’initiative</t>
        </is>
      </c>
      <c r="GH2" s="29" t="inlineStr">
        <is>
          <t>La valorisation ou l'encouragement</t>
        </is>
      </c>
      <c r="GI2" s="29" t="inlineStr">
        <is>
          <t>Le charisme</t>
        </is>
      </c>
      <c r="GJ2" s="29" t="inlineStr">
        <is>
          <t>Le coaching des autres</t>
        </is>
      </c>
      <c r="GK2" s="29" t="inlineStr">
        <is>
          <t>Leadership</t>
        </is>
      </c>
      <c r="GL2" s="29" t="inlineStr">
        <is>
          <t>L’auto-formation</t>
        </is>
      </c>
      <c r="GM2" s="29" t="inlineStr">
        <is>
          <t>La concentration</t>
        </is>
      </c>
      <c r="GN2" s="29" t="inlineStr">
        <is>
          <t>La fixation d'objectifs</t>
        </is>
      </c>
      <c r="GO2" s="29" t="inlineStr">
        <is>
          <t>La gestion des ressources</t>
        </is>
      </c>
      <c r="GP2" s="29" t="inlineStr">
        <is>
          <t>La gestion du temps</t>
        </is>
      </c>
      <c r="GQ2" s="29" t="inlineStr">
        <is>
          <t>La hiérarchisation et la priorisation</t>
        </is>
      </c>
      <c r="GR2" s="29" t="inlineStr">
        <is>
          <t>La patiente</t>
        </is>
      </c>
      <c r="GS2" s="29" t="inlineStr">
        <is>
          <t>La persévérance</t>
        </is>
      </c>
      <c r="GT2" s="29" t="inlineStr">
        <is>
          <t>La planification</t>
        </is>
      </c>
      <c r="GU2" s="29" t="inlineStr">
        <is>
          <t>La ponctualité</t>
        </is>
      </c>
      <c r="GV2" s="29" t="inlineStr">
        <is>
          <t>La recherche d'efficacité</t>
        </is>
      </c>
      <c r="GW2" s="29" t="inlineStr">
        <is>
          <t>La visualisation</t>
        </is>
      </c>
      <c r="GX2" s="29" t="inlineStr">
        <is>
          <t>Le respect des délais</t>
        </is>
      </c>
    </row>
    <row r="3" ht="102" customFormat="1" customHeight="1" s="16">
      <c r="A3" s="45" t="inlineStr">
        <is>
          <t xml:space="preserve">Ligne </t>
        </is>
      </c>
      <c r="B3" s="45" t="inlineStr">
        <is>
          <t>Principal</t>
        </is>
      </c>
      <c r="C3" s="45">
        <f>_xlfn.XLOOKUP(C2,'Résultat test questionnaire'!$B:$B,'Résultat test questionnaire'!$F:$F)</f>
        <v/>
      </c>
      <c r="D3" s="45">
        <f>_xlfn.XLOOKUP(D2,'Résultat test questionnaire'!$B:$B,'Résultat test questionnaire'!$F:$F)</f>
        <v/>
      </c>
      <c r="E3" s="45">
        <f>_xlfn.XLOOKUP(E2,'Résultat test questionnaire'!$B:$B,'Résultat test questionnaire'!$F:$F)</f>
        <v/>
      </c>
      <c r="F3" s="45">
        <f>_xlfn.XLOOKUP(F2,'Résultat test questionnaire'!$B:$B,'Résultat test questionnaire'!$F:$F)</f>
        <v/>
      </c>
      <c r="G3" s="45">
        <f>_xlfn.XLOOKUP(G2,'Résultat test questionnaire'!$B:$B,'Résultat test questionnaire'!$F:$F)</f>
        <v/>
      </c>
      <c r="H3" s="45">
        <f>_xlfn.XLOOKUP(H2,'Résultat test questionnaire'!$B:$B,'Résultat test questionnaire'!$F:$F)</f>
        <v/>
      </c>
      <c r="I3" s="45">
        <f>_xlfn.XLOOKUP(I2,'Résultat test questionnaire'!$B:$B,'Résultat test questionnaire'!$F:$F)</f>
        <v/>
      </c>
      <c r="J3" s="45">
        <f>_xlfn.XLOOKUP(J2,'Résultat test questionnaire'!$B:$B,'Résultat test questionnaire'!$F:$F)</f>
        <v/>
      </c>
      <c r="K3" s="45">
        <f>_xlfn.XLOOKUP(K2,'Questionnaire '!$C:$C,'Questionnaire '!$M:$M)</f>
        <v/>
      </c>
      <c r="L3" s="45">
        <f>_xlfn.XLOOKUP(L2,'Questionnaire '!$C:$C,'Questionnaire '!$M:$M)</f>
        <v/>
      </c>
      <c r="M3" s="45">
        <f>_xlfn.XLOOKUP(M2,'Questionnaire '!$C:$C,'Questionnaire '!$M:$M)</f>
        <v/>
      </c>
      <c r="N3" s="45">
        <f>_xlfn.XLOOKUP(N2,'Questionnaire '!$C:$C,'Questionnaire '!$M:$M)</f>
        <v/>
      </c>
      <c r="O3" s="45">
        <f>_xlfn.XLOOKUP(O2,'Questionnaire '!$C:$C,'Questionnaire '!$M:$M)</f>
        <v/>
      </c>
      <c r="P3" s="45">
        <f>_xlfn.XLOOKUP(P2,'Questionnaire '!$C:$C,'Questionnaire '!$M:$M)</f>
        <v/>
      </c>
      <c r="Q3" s="45">
        <f>_xlfn.XLOOKUP(Q2,'Questionnaire '!$C:$C,'Questionnaire '!$M:$M)</f>
        <v/>
      </c>
      <c r="R3" s="45">
        <f>_xlfn.XLOOKUP(R2,'Questionnaire '!$C:$C,'Questionnaire '!$M:$M)</f>
        <v/>
      </c>
      <c r="S3" s="45">
        <f>_xlfn.XLOOKUP(S2,'Questionnaire '!$C:$C,'Questionnaire '!$M:$M)</f>
        <v/>
      </c>
      <c r="T3" s="45">
        <f>_xlfn.XLOOKUP(T2,'Questionnaire '!$C:$C,'Questionnaire '!$M:$M)</f>
        <v/>
      </c>
      <c r="U3" s="45">
        <f>_xlfn.XLOOKUP(U2,'Questionnaire '!$C:$C,'Questionnaire '!$M:$M)</f>
        <v/>
      </c>
      <c r="V3" s="45">
        <f>_xlfn.XLOOKUP(V2,'Questionnaire '!$C:$C,'Questionnaire '!$M:$M)</f>
        <v/>
      </c>
      <c r="W3" s="45">
        <f>_xlfn.XLOOKUP(W2,'Questionnaire '!$C:$C,'Questionnaire '!$M:$M)</f>
        <v/>
      </c>
      <c r="X3" s="45">
        <f>_xlfn.XLOOKUP(X2,'Questionnaire '!$C:$C,'Questionnaire '!$M:$M)</f>
        <v/>
      </c>
      <c r="Y3" s="45">
        <f>_xlfn.XLOOKUP(Y2,'Questionnaire '!$C:$C,'Questionnaire '!$M:$M)</f>
        <v/>
      </c>
      <c r="Z3" s="45">
        <f>_xlfn.XLOOKUP(Z2,'Questionnaire '!$C:$C,'Questionnaire '!$M:$M)</f>
        <v/>
      </c>
      <c r="AA3" s="45">
        <f>_xlfn.XLOOKUP(AA2,'Questionnaire '!$C:$C,'Questionnaire '!$M:$M)</f>
        <v/>
      </c>
      <c r="AB3" s="45">
        <f>_xlfn.XLOOKUP(AB2,'Questionnaire '!$C:$C,'Questionnaire '!$M:$M)</f>
        <v/>
      </c>
      <c r="AC3" s="45">
        <f>_xlfn.XLOOKUP(AC2,'Questionnaire '!$C:$C,'Questionnaire '!$M:$M)</f>
        <v/>
      </c>
      <c r="AD3" s="45">
        <f>_xlfn.XLOOKUP(AD2,'Questionnaire '!$C:$C,'Questionnaire '!$M:$M)</f>
        <v/>
      </c>
      <c r="AE3" s="45">
        <f>_xlfn.XLOOKUP(AE2,'Questionnaire '!$C:$C,'Questionnaire '!$M:$M)</f>
        <v/>
      </c>
      <c r="AF3" s="45">
        <f>_xlfn.XLOOKUP(AF2,'Questionnaire '!$C:$C,'Questionnaire '!$M:$M)</f>
        <v/>
      </c>
      <c r="AG3" s="45">
        <f>_xlfn.XLOOKUP(AG2,'Questionnaire '!$C:$C,'Questionnaire '!$M:$M)</f>
        <v/>
      </c>
      <c r="AH3" s="45">
        <f>_xlfn.XLOOKUP(AH2,'Questionnaire '!$C:$C,'Questionnaire '!$M:$M)</f>
        <v/>
      </c>
      <c r="AI3" s="45">
        <f>_xlfn.XLOOKUP(AI2,'Questionnaire '!$C:$C,'Questionnaire '!$M:$M)</f>
        <v/>
      </c>
      <c r="AJ3" s="45">
        <f>_xlfn.XLOOKUP(AJ2,'Questionnaire '!$C:$C,'Questionnaire '!$M:$M)</f>
        <v/>
      </c>
      <c r="AK3" s="45">
        <f>_xlfn.XLOOKUP(AK2,'Questionnaire '!$C:$C,'Questionnaire '!$M:$M)</f>
        <v/>
      </c>
      <c r="AL3" s="45">
        <f>_xlfn.XLOOKUP(AL2,'Questionnaire '!$C:$C,'Questionnaire '!$M:$M)</f>
        <v/>
      </c>
      <c r="AM3" s="45">
        <f>_xlfn.XLOOKUP(AM2,'Questionnaire '!$C:$C,'Questionnaire '!$M:$M)</f>
        <v/>
      </c>
      <c r="AN3" s="45">
        <f>_xlfn.XLOOKUP(AN2,'Questionnaire '!$C:$C,'Questionnaire '!$M:$M)</f>
        <v/>
      </c>
      <c r="AO3" s="45">
        <f>_xlfn.XLOOKUP(AO2,'Questionnaire '!$C:$C,'Questionnaire '!$M:$M)</f>
        <v/>
      </c>
      <c r="AP3" s="45">
        <f>_xlfn.XLOOKUP(AP2,'Questionnaire '!$C:$C,'Questionnaire '!$M:$M)</f>
        <v/>
      </c>
      <c r="AQ3" s="45">
        <f>_xlfn.XLOOKUP(AQ2,'Questionnaire '!$C:$C,'Questionnaire '!$M:$M)</f>
        <v/>
      </c>
      <c r="AR3" s="45">
        <f>_xlfn.XLOOKUP(AR2,'Questionnaire '!$C:$C,'Questionnaire '!$M:$M)</f>
        <v/>
      </c>
      <c r="AS3" s="45">
        <f>_xlfn.XLOOKUP(AS2,'Questionnaire '!$C:$C,'Questionnaire '!$M:$M)</f>
        <v/>
      </c>
      <c r="AT3" s="45">
        <f>_xlfn.XLOOKUP(AT2,'Questionnaire '!$C:$C,'Questionnaire '!$M:$M)</f>
        <v/>
      </c>
      <c r="AU3" s="45">
        <f>_xlfn.XLOOKUP(AU2,'Questionnaire '!$C:$C,'Questionnaire '!$M:$M)</f>
        <v/>
      </c>
      <c r="AV3" s="45">
        <f>_xlfn.XLOOKUP(AV2,'Questionnaire '!$C:$C,'Questionnaire '!$M:$M)</f>
        <v/>
      </c>
      <c r="AW3" s="45">
        <f>_xlfn.XLOOKUP(AW2,'Questionnaire '!$C:$C,'Questionnaire '!$M:$M)</f>
        <v/>
      </c>
      <c r="AX3" s="45">
        <f>_xlfn.XLOOKUP(AX2,'Questionnaire '!$C:$C,'Questionnaire '!$M:$M)</f>
        <v/>
      </c>
      <c r="AY3" s="45">
        <f>_xlfn.XLOOKUP(AY2,'Questionnaire '!$C:$C,'Questionnaire '!$M:$M)</f>
        <v/>
      </c>
      <c r="AZ3" s="45">
        <f>_xlfn.XLOOKUP(AZ2,'Questionnaire '!$C:$C,'Questionnaire '!$M:$M)</f>
        <v/>
      </c>
      <c r="BA3" s="45">
        <f>_xlfn.XLOOKUP(BA2,'Questionnaire '!$C:$C,'Questionnaire '!$M:$M)</f>
        <v/>
      </c>
      <c r="BB3" s="45">
        <f>_xlfn.XLOOKUP(BB2,'Questionnaire '!$C:$C,'Questionnaire '!$M:$M)</f>
        <v/>
      </c>
      <c r="BC3" s="45">
        <f>_xlfn.XLOOKUP(BC2,'Questionnaire '!$C:$C,'Questionnaire '!$M:$M)</f>
        <v/>
      </c>
      <c r="BD3" s="45">
        <f>_xlfn.XLOOKUP(BD2,'Questionnaire '!$C:$C,'Questionnaire '!$M:$M)</f>
        <v/>
      </c>
      <c r="BE3" s="45">
        <f>_xlfn.XLOOKUP(BE2,'Questionnaire '!$C:$C,'Questionnaire '!$M:$M)</f>
        <v/>
      </c>
      <c r="BF3" s="45">
        <f>_xlfn.XLOOKUP(BF2,'Questionnaire '!$C:$C,'Questionnaire '!$M:$M)</f>
        <v/>
      </c>
      <c r="BG3" s="45">
        <f>_xlfn.XLOOKUP(BG2,'Questionnaire '!$C:$C,'Questionnaire '!$M:$M)</f>
        <v/>
      </c>
      <c r="BH3" s="45">
        <f>_xlfn.XLOOKUP(BH2,'Questionnaire '!$C:$C,'Questionnaire '!$M:$M)</f>
        <v/>
      </c>
      <c r="BI3" s="45">
        <f>_xlfn.XLOOKUP(BI2,'Questionnaire '!$C:$C,'Questionnaire '!$M:$M)</f>
        <v/>
      </c>
      <c r="BJ3" s="45">
        <f>_xlfn.XLOOKUP(BJ2,'Questionnaire '!$C:$C,'Questionnaire '!$M:$M)</f>
        <v/>
      </c>
      <c r="BK3" s="45">
        <f>_xlfn.XLOOKUP(BK2,'Questionnaire '!$C:$C,'Questionnaire '!$M:$M)</f>
        <v/>
      </c>
      <c r="BL3" s="45">
        <f>_xlfn.XLOOKUP(BL2,'Questionnaire '!$C:$C,'Questionnaire '!$M:$M)</f>
        <v/>
      </c>
      <c r="BM3" s="45">
        <f>_xlfn.XLOOKUP(BM2,'Questionnaire '!$C:$C,'Questionnaire '!$M:$M)</f>
        <v/>
      </c>
      <c r="BN3" s="45">
        <f>_xlfn.XLOOKUP(BN2,'Questionnaire '!$C:$C,'Questionnaire '!$M:$M)</f>
        <v/>
      </c>
      <c r="BO3" s="45">
        <f>_xlfn.XLOOKUP(BO2,'Questionnaire '!$C:$C,'Questionnaire '!$M:$M)</f>
        <v/>
      </c>
      <c r="BP3" s="45">
        <f>_xlfn.XLOOKUP(BP2,'Questionnaire '!$C:$C,'Questionnaire '!$M:$M)</f>
        <v/>
      </c>
      <c r="BQ3" s="45">
        <f>_xlfn.XLOOKUP(BQ2,'Questionnaire '!$C:$C,'Questionnaire '!$M:$M)</f>
        <v/>
      </c>
      <c r="BR3" s="45">
        <f>_xlfn.XLOOKUP(BR2,'Questionnaire '!$C:$C,'Questionnaire '!$M:$M)</f>
        <v/>
      </c>
      <c r="BS3" s="45">
        <f>_xlfn.XLOOKUP(BS2,'Questionnaire '!$C:$C,'Questionnaire '!$M:$M)</f>
        <v/>
      </c>
      <c r="BT3" s="45">
        <f>_xlfn.XLOOKUP(BT2,'Questionnaire '!$C:$C,'Questionnaire '!$M:$M)</f>
        <v/>
      </c>
      <c r="BU3" s="45">
        <f>_xlfn.XLOOKUP(BU2,'Questionnaire '!$C:$C,'Questionnaire '!$M:$M)</f>
        <v/>
      </c>
      <c r="BV3" s="45">
        <f>_xlfn.XLOOKUP(BV2,'Questionnaire '!$C:$C,'Questionnaire '!$M:$M)</f>
        <v/>
      </c>
      <c r="BW3" s="45">
        <f>_xlfn.XLOOKUP(BW2,'Questionnaire '!$C:$C,'Questionnaire '!$M:$M)</f>
        <v/>
      </c>
      <c r="BX3" s="45">
        <f>_xlfn.XLOOKUP(BX2,'Questionnaire '!$C:$C,'Questionnaire '!$M:$M)</f>
        <v/>
      </c>
      <c r="BY3" s="45">
        <f>_xlfn.XLOOKUP(BY2,'Questionnaire '!$C:$C,'Questionnaire '!$M:$M)</f>
        <v/>
      </c>
      <c r="BZ3" s="45">
        <f>_xlfn.XLOOKUP(BZ2,'Questionnaire '!$C:$C,'Questionnaire '!$M:$M)</f>
        <v/>
      </c>
      <c r="CA3" s="45">
        <f>_xlfn.XLOOKUP(CA2,'Questionnaire '!$C:$C,'Questionnaire '!$M:$M)</f>
        <v/>
      </c>
      <c r="CB3" s="45">
        <f>_xlfn.XLOOKUP(CB2,'Questionnaire '!$C:$C,'Questionnaire '!$M:$M)</f>
        <v/>
      </c>
      <c r="CC3" s="45">
        <f>_xlfn.XLOOKUP(CC2,'Questionnaire '!$C:$C,'Questionnaire '!$M:$M)</f>
        <v/>
      </c>
      <c r="CD3" s="45">
        <f>_xlfn.XLOOKUP(CD2,'Questionnaire '!$C:$C,'Questionnaire '!$M:$M)</f>
        <v/>
      </c>
      <c r="CE3" s="45">
        <f>_xlfn.XLOOKUP(CE2,'Questionnaire '!$C:$C,'Questionnaire '!$M:$M)</f>
        <v/>
      </c>
      <c r="CF3" s="45">
        <f>_xlfn.XLOOKUP(CF2,'Questionnaire '!$C:$C,'Questionnaire '!$M:$M)</f>
        <v/>
      </c>
      <c r="CG3" s="45">
        <f>_xlfn.XLOOKUP(CG2,'Questionnaire '!$C:$C,'Questionnaire '!$M:$M)</f>
        <v/>
      </c>
      <c r="CH3" s="45">
        <f>_xlfn.XLOOKUP(CH2,'Questionnaire '!$C:$C,'Questionnaire '!$M:$M)</f>
        <v/>
      </c>
      <c r="CI3" s="45">
        <f>_xlfn.XLOOKUP(CI2,'Questionnaire '!$C:$C,'Questionnaire '!$M:$M)</f>
        <v/>
      </c>
      <c r="CJ3" s="45">
        <f>_xlfn.XLOOKUP(CJ2,'Questionnaire '!$C:$C,'Questionnaire '!$M:$M)</f>
        <v/>
      </c>
      <c r="CK3" s="45">
        <f>_xlfn.XLOOKUP(CK2,'Questionnaire '!$C:$C,'Questionnaire '!$M:$M)</f>
        <v/>
      </c>
      <c r="CL3" s="45">
        <f>_xlfn.XLOOKUP(CL2,'Questionnaire '!$C:$C,'Questionnaire '!$M:$M)</f>
        <v/>
      </c>
      <c r="CM3" s="45">
        <f>_xlfn.XLOOKUP(CM2,'Questionnaire '!$C:$C,'Questionnaire '!$M:$M)</f>
        <v/>
      </c>
      <c r="CN3" s="45">
        <f>_xlfn.XLOOKUP(CN2,'Questionnaire '!$C:$C,'Questionnaire '!$M:$M)</f>
        <v/>
      </c>
      <c r="CO3" s="45">
        <f>_xlfn.XLOOKUP(CO2,'Questionnaire '!$C:$C,'Questionnaire '!$M:$M)</f>
        <v/>
      </c>
      <c r="CP3" s="45">
        <f>_xlfn.XLOOKUP(CP2,'Questionnaire '!$C:$C,'Questionnaire '!$M:$M)</f>
        <v/>
      </c>
      <c r="CQ3" s="45">
        <f>_xlfn.XLOOKUP(CQ2,'Questionnaire '!$C:$C,'Questionnaire '!$M:$M)</f>
        <v/>
      </c>
      <c r="CR3" s="45">
        <f>_xlfn.XLOOKUP(CR2,'Questionnaire '!$C:$C,'Questionnaire '!$M:$M)</f>
        <v/>
      </c>
      <c r="CS3" s="45">
        <f>_xlfn.XLOOKUP(CS2,'Questionnaire '!$C:$C,'Questionnaire '!$M:$M)</f>
        <v/>
      </c>
      <c r="CT3" s="45">
        <f>_xlfn.XLOOKUP(CT2,'Questionnaire '!$C:$C,'Questionnaire '!$M:$M)</f>
        <v/>
      </c>
      <c r="CU3" s="45">
        <f>_xlfn.XLOOKUP(CU2,'Questionnaire '!$C:$C,'Questionnaire '!$M:$M)</f>
        <v/>
      </c>
      <c r="CV3" s="45">
        <f>_xlfn.XLOOKUP(CV2,'Questionnaire '!$C:$C,'Questionnaire '!$M:$M)</f>
        <v/>
      </c>
      <c r="CW3" s="45">
        <f>_xlfn.XLOOKUP(CW2,'Questionnaire '!$C:$C,'Questionnaire '!$M:$M)</f>
        <v/>
      </c>
      <c r="CX3" s="45">
        <f>_xlfn.XLOOKUP(CX2,'Questionnaire '!$C:$C,'Questionnaire '!$M:$M)</f>
        <v/>
      </c>
      <c r="CY3" s="45">
        <f>_xlfn.XLOOKUP(CY2,'Questionnaire '!$C:$C,'Questionnaire '!$M:$M)</f>
        <v/>
      </c>
      <c r="CZ3" s="45">
        <f>_xlfn.XLOOKUP(CZ2,'Questionnaire '!$C:$C,'Questionnaire '!$M:$M)</f>
        <v/>
      </c>
      <c r="DA3" s="45">
        <f>_xlfn.XLOOKUP(DA2,'Questionnaire '!$C:$C,'Questionnaire '!$M:$M)</f>
        <v/>
      </c>
      <c r="DB3" s="45">
        <f>_xlfn.XLOOKUP(DB2,'Questionnaire '!$C:$C,'Questionnaire '!$M:$M)</f>
        <v/>
      </c>
      <c r="DC3" s="45">
        <f>_xlfn.XLOOKUP(DC2,'Questionnaire '!$C:$C,'Questionnaire '!$M:$M)</f>
        <v/>
      </c>
      <c r="DD3" s="45">
        <f>_xlfn.XLOOKUP(DD2,'Questionnaire '!$C:$C,'Questionnaire '!$M:$M)</f>
        <v/>
      </c>
      <c r="DE3" s="45">
        <f>_xlfn.XLOOKUP('PUBLIPOSTAGE '!DE2,'Questionnaire '!$C:$C,'Questionnaire '!$P:$P)</f>
        <v/>
      </c>
      <c r="DF3" s="45">
        <f>_xlfn.XLOOKUP('PUBLIPOSTAGE '!DF2,'Questionnaire '!$C:$C,'Questionnaire '!$P:$P)</f>
        <v/>
      </c>
      <c r="DG3" s="45">
        <f>_xlfn.XLOOKUP('PUBLIPOSTAGE '!DG2,'Questionnaire '!$C:$C,'Questionnaire '!$P:$P)</f>
        <v/>
      </c>
      <c r="DH3" s="45">
        <f>_xlfn.XLOOKUP('PUBLIPOSTAGE '!DH2,'Questionnaire '!$C:$C,'Questionnaire '!$P:$P)</f>
        <v/>
      </c>
      <c r="DI3" s="45">
        <f>_xlfn.XLOOKUP('PUBLIPOSTAGE '!DI2,'Questionnaire '!$C:$C,'Questionnaire '!$P:$P)</f>
        <v/>
      </c>
      <c r="DJ3" s="45">
        <f>_xlfn.XLOOKUP('PUBLIPOSTAGE '!DJ2,'Questionnaire '!$C:$C,'Questionnaire '!$P:$P)</f>
        <v/>
      </c>
      <c r="DK3" s="45">
        <f>_xlfn.XLOOKUP('PUBLIPOSTAGE '!DK2,'Questionnaire '!$C:$C,'Questionnaire '!$P:$P)</f>
        <v/>
      </c>
      <c r="DL3" s="45">
        <f>_xlfn.XLOOKUP('PUBLIPOSTAGE '!DL2,'Questionnaire '!$C:$C,'Questionnaire '!$P:$P)</f>
        <v/>
      </c>
      <c r="DM3" s="45">
        <f>_xlfn.XLOOKUP('PUBLIPOSTAGE '!DM2,'Questionnaire '!$C:$C,'Questionnaire '!$P:$P)</f>
        <v/>
      </c>
      <c r="DN3" s="45">
        <f>_xlfn.XLOOKUP('PUBLIPOSTAGE '!DN2,'Questionnaire '!$C:$C,'Questionnaire '!$P:$P)</f>
        <v/>
      </c>
      <c r="DO3" s="45">
        <f>_xlfn.XLOOKUP('PUBLIPOSTAGE '!DO2,'Questionnaire '!$C:$C,'Questionnaire '!$P:$P)</f>
        <v/>
      </c>
      <c r="DP3" s="45">
        <f>_xlfn.XLOOKUP('PUBLIPOSTAGE '!DP2,'Questionnaire '!$C:$C,'Questionnaire '!$P:$P)</f>
        <v/>
      </c>
      <c r="DQ3" s="45">
        <f>_xlfn.XLOOKUP('PUBLIPOSTAGE '!DQ2,'Questionnaire '!$C:$C,'Questionnaire '!$P:$P)</f>
        <v/>
      </c>
      <c r="DR3" s="45">
        <f>_xlfn.XLOOKUP('PUBLIPOSTAGE '!DR2,'Questionnaire '!$C:$C,'Questionnaire '!$P:$P)</f>
        <v/>
      </c>
      <c r="DS3" s="45">
        <f>_xlfn.XLOOKUP('PUBLIPOSTAGE '!DS2,'Questionnaire '!$C:$C,'Questionnaire '!$P:$P)</f>
        <v/>
      </c>
      <c r="DT3" s="45">
        <f>_xlfn.XLOOKUP('PUBLIPOSTAGE '!DT2,'Questionnaire '!$C:$C,'Questionnaire '!$P:$P)</f>
        <v/>
      </c>
      <c r="DU3" s="45">
        <f>_xlfn.XLOOKUP('PUBLIPOSTAGE '!DU2,'Questionnaire '!$C:$C,'Questionnaire '!$P:$P)</f>
        <v/>
      </c>
      <c r="DV3" s="45">
        <f>_xlfn.XLOOKUP('PUBLIPOSTAGE '!DV2,'Questionnaire '!$C:$C,'Questionnaire '!$P:$P)</f>
        <v/>
      </c>
      <c r="DW3" s="45">
        <f>_xlfn.XLOOKUP('PUBLIPOSTAGE '!DW2,'Questionnaire '!$C:$C,'Questionnaire '!$P:$P)</f>
        <v/>
      </c>
      <c r="DX3" s="45">
        <f>_xlfn.XLOOKUP('PUBLIPOSTAGE '!DX2,'Questionnaire '!$C:$C,'Questionnaire '!$P:$P)</f>
        <v/>
      </c>
      <c r="DY3" s="45">
        <f>_xlfn.XLOOKUP('PUBLIPOSTAGE '!DY2,'Questionnaire '!$C:$C,'Questionnaire '!$P:$P)</f>
        <v/>
      </c>
      <c r="DZ3" s="45">
        <f>_xlfn.XLOOKUP('PUBLIPOSTAGE '!DZ2,'Questionnaire '!$C:$C,'Questionnaire '!$P:$P)</f>
        <v/>
      </c>
      <c r="EA3" s="45">
        <f>_xlfn.XLOOKUP('PUBLIPOSTAGE '!EA2,'Questionnaire '!$C:$C,'Questionnaire '!$P:$P)</f>
        <v/>
      </c>
      <c r="EB3" s="45">
        <f>_xlfn.XLOOKUP('PUBLIPOSTAGE '!EB2,'Questionnaire '!$C:$C,'Questionnaire '!$P:$P)</f>
        <v/>
      </c>
      <c r="EC3" s="45">
        <f>_xlfn.XLOOKUP('PUBLIPOSTAGE '!EC2,'Questionnaire '!$C:$C,'Questionnaire '!$P:$P)</f>
        <v/>
      </c>
      <c r="ED3" s="45">
        <f>_xlfn.XLOOKUP('PUBLIPOSTAGE '!ED2,'Questionnaire '!$C:$C,'Questionnaire '!$P:$P)</f>
        <v/>
      </c>
      <c r="EE3" s="45">
        <f>_xlfn.XLOOKUP('PUBLIPOSTAGE '!EE2,'Questionnaire '!$C:$C,'Questionnaire '!$P:$P)</f>
        <v/>
      </c>
      <c r="EF3" s="45">
        <f>_xlfn.XLOOKUP('PUBLIPOSTAGE '!EF2,'Questionnaire '!$C:$C,'Questionnaire '!$P:$P)</f>
        <v/>
      </c>
      <c r="EG3" s="45">
        <f>'Questionnaire '!P20</f>
        <v/>
      </c>
      <c r="EH3" s="45">
        <f>_xlfn.XLOOKUP('PUBLIPOSTAGE '!EH2,'Questionnaire '!$C:$C,'Questionnaire '!$P:$P)</f>
        <v/>
      </c>
      <c r="EI3" s="45">
        <f>_xlfn.XLOOKUP('PUBLIPOSTAGE '!EI2,'Questionnaire '!$C:$C,'Questionnaire '!$P:$P)</f>
        <v/>
      </c>
      <c r="EJ3" s="45">
        <f>_xlfn.XLOOKUP('PUBLIPOSTAGE '!EJ2,'Questionnaire '!$C:$C,'Questionnaire '!$P:$P)</f>
        <v/>
      </c>
      <c r="EK3" s="45">
        <f>_xlfn.XLOOKUP('PUBLIPOSTAGE '!EK2,'Questionnaire '!$C:$C,'Questionnaire '!$P:$P)</f>
        <v/>
      </c>
      <c r="EL3" s="45">
        <f>'Questionnaire '!#REF!</f>
        <v/>
      </c>
      <c r="EM3" s="45">
        <f>_xlfn.XLOOKUP('PUBLIPOSTAGE '!EM2,'Questionnaire '!$C:$C,'Questionnaire '!$P:$P)</f>
        <v/>
      </c>
      <c r="EN3" s="45">
        <f>'Questionnaire '!P24</f>
        <v/>
      </c>
      <c r="EO3" s="45">
        <f>_xlfn.XLOOKUP('PUBLIPOSTAGE '!EO2,'Questionnaire '!$C:$C,'Questionnaire '!$P:$P)</f>
        <v/>
      </c>
      <c r="EP3" s="45">
        <f>_xlfn.XLOOKUP('PUBLIPOSTAGE '!EP2,'Questionnaire '!$C:$C,'Questionnaire '!$P:$P)</f>
        <v/>
      </c>
      <c r="EQ3" s="45">
        <f>_xlfn.XLOOKUP('PUBLIPOSTAGE '!EQ2,'Questionnaire '!$C:$C,'Questionnaire '!$P:$P)</f>
        <v/>
      </c>
      <c r="ER3" s="45">
        <f>_xlfn.XLOOKUP('PUBLIPOSTAGE '!ER2,'Questionnaire '!$C:$C,'Questionnaire '!$P:$P)</f>
        <v/>
      </c>
      <c r="ES3" s="45">
        <f>_xlfn.XLOOKUP('PUBLIPOSTAGE '!ES2,'Questionnaire '!$C:$C,'Questionnaire '!$P:$P)</f>
        <v/>
      </c>
      <c r="ET3" s="45">
        <f>_xlfn.XLOOKUP('PUBLIPOSTAGE '!ET2,'Questionnaire '!$C:$C,'Questionnaire '!$P:$P)</f>
        <v/>
      </c>
      <c r="EU3" s="45">
        <f>_xlfn.XLOOKUP('PUBLIPOSTAGE '!EU2,'Questionnaire '!$C:$C,'Questionnaire '!$P:$P)</f>
        <v/>
      </c>
      <c r="EV3" s="45">
        <f>_xlfn.XLOOKUP('PUBLIPOSTAGE '!EV2,'Questionnaire '!$C:$C,'Questionnaire '!$P:$P)</f>
        <v/>
      </c>
      <c r="EW3" s="45">
        <f>_xlfn.XLOOKUP('PUBLIPOSTAGE '!EW2,'Questionnaire '!$C:$C,'Questionnaire '!$P:$P)</f>
        <v/>
      </c>
      <c r="EX3" s="45">
        <f>_xlfn.XLOOKUP('PUBLIPOSTAGE '!EX2,'Questionnaire '!$C:$C,'Questionnaire '!$P:$P)</f>
        <v/>
      </c>
      <c r="EY3" s="45">
        <f>_xlfn.XLOOKUP('PUBLIPOSTAGE '!EY2,'Questionnaire '!$C:$C,'Questionnaire '!$P:$P)</f>
        <v/>
      </c>
      <c r="EZ3" s="45">
        <f>_xlfn.XLOOKUP('PUBLIPOSTAGE '!EZ2,'Questionnaire '!$C:$C,'Questionnaire '!$P:$P)</f>
        <v/>
      </c>
      <c r="FA3" s="45">
        <f>_xlfn.XLOOKUP('PUBLIPOSTAGE '!FA2,'Questionnaire '!$C:$C,'Questionnaire '!$P:$P)</f>
        <v/>
      </c>
      <c r="FB3" s="45">
        <f>_xlfn.XLOOKUP('PUBLIPOSTAGE '!FB2,'Questionnaire '!$C:$C,'Questionnaire '!$P:$P)</f>
        <v/>
      </c>
      <c r="FC3" s="45">
        <f>_xlfn.XLOOKUP('PUBLIPOSTAGE '!FC2,'Questionnaire '!$C:$C,'Questionnaire '!$P:$P)</f>
        <v/>
      </c>
      <c r="FD3" s="45">
        <f>_xlfn.XLOOKUP('PUBLIPOSTAGE '!FD2,'Questionnaire '!$C:$C,'Questionnaire '!$P:$P)</f>
        <v/>
      </c>
      <c r="FE3" s="45">
        <f>_xlfn.XLOOKUP('PUBLIPOSTAGE '!FE2,'Questionnaire '!$C:$C,'Questionnaire '!$P:$P)</f>
        <v/>
      </c>
      <c r="FF3" s="45">
        <f>_xlfn.XLOOKUP('PUBLIPOSTAGE '!FF2,'Questionnaire '!$C:$C,'Questionnaire '!$P:$P)</f>
        <v/>
      </c>
      <c r="FG3" s="45">
        <f>_xlfn.XLOOKUP('PUBLIPOSTAGE '!FG2,'Questionnaire '!$C:$C,'Questionnaire '!$P:$P)</f>
        <v/>
      </c>
      <c r="FH3" s="45">
        <f>_xlfn.XLOOKUP('PUBLIPOSTAGE '!FH2,'Questionnaire '!$C:$C,'Questionnaire '!$P:$P)</f>
        <v/>
      </c>
      <c r="FI3" s="45">
        <f>_xlfn.XLOOKUP('PUBLIPOSTAGE '!FI2,'Questionnaire '!$C:$C,'Questionnaire '!$P:$P)</f>
        <v/>
      </c>
      <c r="FJ3" s="45">
        <f>_xlfn.XLOOKUP('PUBLIPOSTAGE '!FJ2,'Questionnaire '!$C:$C,'Questionnaire '!$P:$P)</f>
        <v/>
      </c>
      <c r="FK3" s="45">
        <f>_xlfn.XLOOKUP('PUBLIPOSTAGE '!FK2,'Questionnaire '!$C:$C,'Questionnaire '!$P:$P)</f>
        <v/>
      </c>
      <c r="FL3" s="45">
        <f>_xlfn.XLOOKUP('PUBLIPOSTAGE '!FL2,'Questionnaire '!$C:$C,'Questionnaire '!$P:$P)</f>
        <v/>
      </c>
      <c r="FM3" s="45">
        <f>_xlfn.XLOOKUP('PUBLIPOSTAGE '!FM2,'Questionnaire '!$C:$C,'Questionnaire '!$P:$P)</f>
        <v/>
      </c>
      <c r="FN3" s="45">
        <f>_xlfn.XLOOKUP('PUBLIPOSTAGE '!FN2,'Questionnaire '!$C:$C,'Questionnaire '!$P:$P)</f>
        <v/>
      </c>
      <c r="FO3" s="45">
        <f>_xlfn.XLOOKUP('PUBLIPOSTAGE '!FO2,'Questionnaire '!$C:$C,'Questionnaire '!$P:$P)</f>
        <v/>
      </c>
      <c r="FP3" s="45">
        <f>_xlfn.XLOOKUP('PUBLIPOSTAGE '!FP2,'Questionnaire '!$C:$C,'Questionnaire '!$P:$P)</f>
        <v/>
      </c>
      <c r="FQ3" s="45">
        <f>_xlfn.XLOOKUP('PUBLIPOSTAGE '!FQ2,'Questionnaire '!$C:$C,'Questionnaire '!$P:$P)</f>
        <v/>
      </c>
      <c r="FR3" s="45">
        <f>_xlfn.XLOOKUP('PUBLIPOSTAGE '!FR2,'Questionnaire '!$C:$C,'Questionnaire '!$P:$P)</f>
        <v/>
      </c>
      <c r="FS3" s="45">
        <f>_xlfn.XLOOKUP('PUBLIPOSTAGE '!FS2,'Questionnaire '!$C:$C,'Questionnaire '!$P:$P)</f>
        <v/>
      </c>
      <c r="FT3" s="45">
        <f>_xlfn.XLOOKUP('PUBLIPOSTAGE '!FT2,'Questionnaire '!$C:$C,'Questionnaire '!$P:$P)</f>
        <v/>
      </c>
      <c r="FU3" s="45">
        <f>_xlfn.XLOOKUP('PUBLIPOSTAGE '!FU2,'Questionnaire '!$C:$C,'Questionnaire '!$P:$P)</f>
        <v/>
      </c>
      <c r="FV3" s="45">
        <f>_xlfn.XLOOKUP('PUBLIPOSTAGE '!FV2,'Questionnaire '!$C:$C,'Questionnaire '!$P:$P)</f>
        <v/>
      </c>
      <c r="FW3" s="45">
        <f>_xlfn.XLOOKUP('PUBLIPOSTAGE '!FW2,'Questionnaire '!$C:$C,'Questionnaire '!$P:$P)</f>
        <v/>
      </c>
      <c r="FX3" s="45">
        <f>_xlfn.XLOOKUP('PUBLIPOSTAGE '!FX2,'Questionnaire '!$C:$C,'Questionnaire '!$P:$P)</f>
        <v/>
      </c>
      <c r="FY3" s="45">
        <f>_xlfn.XLOOKUP('PUBLIPOSTAGE '!FY2,'Questionnaire '!$C:$C,'Questionnaire '!$P:$P)</f>
        <v/>
      </c>
      <c r="FZ3" s="45">
        <f>_xlfn.XLOOKUP('PUBLIPOSTAGE '!FZ2,'Questionnaire '!$C:$C,'Questionnaire '!$P:$P)</f>
        <v/>
      </c>
      <c r="GA3" s="45">
        <f>_xlfn.XLOOKUP('PUBLIPOSTAGE '!GA2,'Questionnaire '!$C:$C,'Questionnaire '!$P:$P)</f>
        <v/>
      </c>
      <c r="GB3" s="45">
        <f>_xlfn.XLOOKUP('PUBLIPOSTAGE '!GB2,'Questionnaire '!$C:$C,'Questionnaire '!$P:$P)</f>
        <v/>
      </c>
      <c r="GC3" s="45">
        <f>_xlfn.XLOOKUP('PUBLIPOSTAGE '!GC2,'Questionnaire '!$C:$C,'Questionnaire '!$P:$P)</f>
        <v/>
      </c>
      <c r="GD3" s="45">
        <f>_xlfn.XLOOKUP('PUBLIPOSTAGE '!GD2,'Questionnaire '!$C:$C,'Questionnaire '!$P:$P)</f>
        <v/>
      </c>
      <c r="GE3" s="45">
        <f>_xlfn.XLOOKUP('PUBLIPOSTAGE '!GE2,'Questionnaire '!$C:$C,'Questionnaire '!$P:$P)</f>
        <v/>
      </c>
      <c r="GF3" s="45">
        <f>_xlfn.XLOOKUP('PUBLIPOSTAGE '!GF2,'Questionnaire '!$C:$C,'Questionnaire '!$P:$P)</f>
        <v/>
      </c>
      <c r="GG3" s="45">
        <f>_xlfn.XLOOKUP('PUBLIPOSTAGE '!GG2,'Questionnaire '!$C:$C,'Questionnaire '!$P:$P)</f>
        <v/>
      </c>
      <c r="GH3" s="45">
        <f>_xlfn.XLOOKUP('PUBLIPOSTAGE '!GH2,'Questionnaire '!$C:$C,'Questionnaire '!$P:$P)</f>
        <v/>
      </c>
      <c r="GI3" s="45">
        <f>_xlfn.XLOOKUP('PUBLIPOSTAGE '!GI2,'Questionnaire '!$C:$C,'Questionnaire '!$P:$P)</f>
        <v/>
      </c>
      <c r="GJ3" s="45">
        <f>_xlfn.XLOOKUP('PUBLIPOSTAGE '!GJ2,'Questionnaire '!$C:$C,'Questionnaire '!$P:$P)</f>
        <v/>
      </c>
      <c r="GK3" s="45">
        <f>_xlfn.XLOOKUP('PUBLIPOSTAGE '!GK2,'Questionnaire '!$C:$C,'Questionnaire '!$P:$P)</f>
        <v/>
      </c>
      <c r="GL3" s="45">
        <f>_xlfn.XLOOKUP('PUBLIPOSTAGE '!GL2,'Questionnaire '!$C:$C,'Questionnaire '!$P:$P)</f>
        <v/>
      </c>
      <c r="GM3" s="45">
        <f>_xlfn.XLOOKUP('PUBLIPOSTAGE '!GM2,'Questionnaire '!$C:$C,'Questionnaire '!$P:$P)</f>
        <v/>
      </c>
      <c r="GN3" s="45">
        <f>_xlfn.XLOOKUP('PUBLIPOSTAGE '!GN2,'Questionnaire '!$C:$C,'Questionnaire '!$P:$P)</f>
        <v/>
      </c>
      <c r="GO3" s="45">
        <f>_xlfn.XLOOKUP('PUBLIPOSTAGE '!GO2,'Questionnaire '!$C:$C,'Questionnaire '!$P:$P)</f>
        <v/>
      </c>
      <c r="GP3" s="45">
        <f>_xlfn.XLOOKUP('PUBLIPOSTAGE '!GP2,'Questionnaire '!$C:$C,'Questionnaire '!$P:$P)</f>
        <v/>
      </c>
      <c r="GQ3" s="45">
        <f>_xlfn.XLOOKUP('PUBLIPOSTAGE '!GQ2,'Questionnaire '!$C:$C,'Questionnaire '!$P:$P)</f>
        <v/>
      </c>
      <c r="GR3" s="45">
        <f>_xlfn.XLOOKUP('PUBLIPOSTAGE '!GR2,'Questionnaire '!$C:$C,'Questionnaire '!$P:$P)</f>
        <v/>
      </c>
      <c r="GS3" s="45">
        <f>_xlfn.XLOOKUP('PUBLIPOSTAGE '!GS2,'Questionnaire '!$C:$C,'Questionnaire '!$P:$P)</f>
        <v/>
      </c>
      <c r="GT3" s="45">
        <f>_xlfn.XLOOKUP('PUBLIPOSTAGE '!GT2,'Questionnaire '!$C:$C,'Questionnaire '!$P:$P)</f>
        <v/>
      </c>
      <c r="GU3" s="45">
        <f>_xlfn.XLOOKUP('PUBLIPOSTAGE '!GU2,'Questionnaire '!$C:$C,'Questionnaire '!$P:$P)</f>
        <v/>
      </c>
      <c r="GV3" s="45">
        <f>_xlfn.XLOOKUP('PUBLIPOSTAGE '!GV2,'Questionnaire '!$C:$C,'Questionnaire '!$P:$P)</f>
        <v/>
      </c>
      <c r="GW3" s="45">
        <f>_xlfn.XLOOKUP('PUBLIPOSTAGE '!GW2,'Questionnaire '!$C:$C,'Questionnaire '!$P:$P)</f>
        <v/>
      </c>
      <c r="GX3" s="45">
        <f>_xlfn.XLOOKUP('PUBLIPOSTAGE '!GX2,'Questionnaire '!$C:$C,'Questionnaire '!$P:$P)</f>
        <v/>
      </c>
    </row>
    <row r="4" ht="43.2" customHeight="1">
      <c r="A4" t="inlineStr">
        <is>
          <t>Betty</t>
        </is>
      </c>
      <c r="B4" t="inlineStr">
        <is>
          <t>MATOKO</t>
        </is>
      </c>
      <c r="C4" t="inlineStr">
        <is>
          <t>Développé</t>
        </is>
      </c>
      <c r="D4" t="inlineStr">
        <is>
          <t>Développé</t>
        </is>
      </c>
      <c r="E4" t="inlineStr">
        <is>
          <t>Développé</t>
        </is>
      </c>
      <c r="F4" t="inlineStr">
        <is>
          <t>très développé</t>
        </is>
      </c>
      <c r="G4" t="inlineStr">
        <is>
          <t>très développé</t>
        </is>
      </c>
      <c r="H4" t="inlineStr">
        <is>
          <t>Développé</t>
        </is>
      </c>
      <c r="I4" t="inlineStr">
        <is>
          <t>très développé</t>
        </is>
      </c>
      <c r="J4" t="inlineStr">
        <is>
          <t>très développé</t>
        </is>
      </c>
      <c r="K4" t="e">
        <v>#N/A</v>
      </c>
      <c r="L4" t="e">
        <v>#N/A</v>
      </c>
      <c r="M4" s="15" t="inlineStr">
        <is>
          <t>Vous êtes particulièrement doué à l'écrit.</t>
        </is>
      </c>
      <c r="N4" t="inlineStr">
        <is>
          <t>Vous êtes quelqu'un de timide et réservé.</t>
        </is>
      </c>
      <c r="O4" t="inlineStr">
        <is>
          <t>Vous êtes quelqu'un d'enthousiaste et de dynamique.</t>
        </is>
      </c>
      <c r="P4" t="e">
        <v>#N/A</v>
      </c>
      <c r="Q4" t="inlineStr">
        <is>
          <t>Vous êtes clair quand vous vous exprimez à l'orale, ceux qui vous écoutent comprennent facilement vos propos.</t>
        </is>
      </c>
      <c r="R4" t="inlineStr">
        <is>
          <t>Vous êtes extrêmement diplomate dans vos propos, vous cherchez toujours les termes et tournures de phrases les moins choquantes.</t>
        </is>
      </c>
      <c r="S4" t="inlineStr">
        <is>
          <t>Vous préférez éviter les phases de négociations corsées, quitte à perdre des opportunités.</t>
        </is>
      </c>
      <c r="T4" t="e">
        <v>#N/A</v>
      </c>
      <c r="U4" t="inlineStr">
        <is>
          <t>Vous êtes quelqu'un de calme et réservé dans vos mouvements.</t>
        </is>
      </c>
      <c r="V4" t="e">
        <v>#N/A</v>
      </c>
      <c r="W4" t="e">
        <v>#N/A</v>
      </c>
      <c r="X4" t="inlineStr">
        <is>
          <t>Vous avez aussi tendance à éviter les prises de paroles en public. Ce n'est pas votre truc.</t>
        </is>
      </c>
      <c r="Y4" t="inlineStr">
        <is>
          <t>Vous savez raconter les histoires et les anecdotes. En général, les gens vous écoutent attentivement.</t>
        </is>
      </c>
      <c r="Z4" t="inlineStr">
        <is>
          <t>Vous n'êtes pas du type à systématiquement actualiser vos connaissances lorsque vous parlez d'un sujet. Vous préférez utiliser votre expérience et vos souvenirs.</t>
        </is>
      </c>
      <c r="AA4" t="inlineStr">
        <is>
          <t>Vous avez une faculté de discernement élevé.</t>
        </is>
      </c>
      <c r="AB4" t="inlineStr">
        <is>
          <t>Vous avez très peu d'humour quand vous vous retrouvez dans une situation qui demande de l'observation et de la concentration !</t>
        </is>
      </c>
      <c r="AC4" t="inlineStr">
        <is>
          <t>Vous pouvez vous montrer ouvert d'esprit même quand une personne n'est pas d'accord avec vous sur certains sujets.</t>
        </is>
      </c>
      <c r="AD4" t="inlineStr">
        <is>
          <t>Vous êtes quelqu'un de créatif.</t>
        </is>
      </c>
      <c r="AE4" t="inlineStr">
        <is>
          <t>Vous n'êtes pas quelqu'un de curieux. En général, vous préférez que l'information vienne à vous.</t>
        </is>
      </c>
      <c r="AF4" t="e">
        <v>#N/A</v>
      </c>
      <c r="AG4" t="e">
        <v>#N/A</v>
      </c>
      <c r="AH4" t="e">
        <v>#N/A</v>
      </c>
      <c r="AI4" t="e">
        <v>#N/A</v>
      </c>
      <c r="AJ4" t="inlineStr">
        <is>
          <t>Vous êtes attentifs aux détails et aimez suggérer des améliorations à ce que vous observez.</t>
        </is>
      </c>
      <c r="AK4" t="e">
        <v>#N/A</v>
      </c>
      <c r="AL4" t="inlineStr">
        <is>
          <t>Lorsque vous rencontrez un problème, vous avez tendance à vous baser essentiellement sur votre intuition et vos aptitudes. Ce qui peut vous empêcher d'en identifier la source véritable.</t>
        </is>
      </c>
      <c r="AM4" t="inlineStr">
        <is>
          <t>Face à une complexité, vous préférez vous renseigner sur la source du problème pour pouvoir les résoudre.</t>
        </is>
      </c>
      <c r="AN4" t="e">
        <v>#N/A</v>
      </c>
      <c r="AO4" t="e">
        <v>#N/A</v>
      </c>
      <c r="AP4" t="inlineStr">
        <is>
          <t>En général, vous préférez perdre dans l'honneur que gagner dans le déshonneur.</t>
        </is>
      </c>
      <c r="AQ4" t="inlineStr">
        <is>
          <t>Vous avez une conscience professionnelle accrue.</t>
        </is>
      </c>
      <c r="AR4" t="e">
        <v>#N/A</v>
      </c>
      <c r="AS4" t="inlineStr">
        <is>
          <t>Vous êtes quelqu’un de loyal.</t>
        </is>
      </c>
      <c r="AT4" t="inlineStr">
        <is>
          <t>Pour vous, demander de l’aide ou utiliser des astuces pour réussir n’est pas un signe de faiblesse. Cela ne diminue en rien la valeur de vos succès.</t>
        </is>
      </c>
      <c r="AU4" t="inlineStr">
        <is>
          <t>Vous avez le sens des responsabilités et souhaitez souvent assumer vos erreurs.</t>
        </is>
      </c>
      <c r="AV4" t="inlineStr">
        <is>
          <t>Vous pensez plus aux autres qu'à vous-même quand vous avez le choix.</t>
        </is>
      </c>
      <c r="AW4" t="inlineStr">
        <is>
          <t>Vous n'êtes pas spécialement écoresponsable.</t>
        </is>
      </c>
      <c r="AX4" t="inlineStr">
        <is>
          <t>Vous êtes capable de vous engager même si cela peut vous nuire.</t>
        </is>
      </c>
      <c r="AY4" t="e">
        <v>#N/A</v>
      </c>
      <c r="AZ4" t="inlineStr">
        <is>
          <t>Vous pouvez souvent faire preuve d'intolérance quant aux avis des autres.</t>
        </is>
      </c>
      <c r="BA4" t="inlineStr">
        <is>
          <t>Les critiques vous irritent, mais vous préférez les écouter que de perdre un moyen de vous améliorer.</t>
        </is>
      </c>
      <c r="BB4" t="e">
        <v>#N/A</v>
      </c>
      <c r="BC4" t="inlineStr">
        <is>
          <t>Vous arrivez à comprendre vos émotions et à les expliquer, mais pas facilement.</t>
        </is>
      </c>
      <c r="BD4" t="e">
        <v>#N/A</v>
      </c>
      <c r="BE4" t="inlineStr">
        <is>
          <t>Vous êtes quelqu'un d'empathique. Vous arrivez à vous mettre à la place des autres.</t>
        </is>
      </c>
      <c r="BF4" t="e">
        <v>#N/A</v>
      </c>
      <c r="BG4" t="inlineStr">
        <is>
          <t>Vous avez tendance à vous soucier plus de votre bien-être qu'a celui des autres.</t>
        </is>
      </c>
      <c r="BH4" t="e">
        <v>#N/A</v>
      </c>
      <c r="BI4" t="e">
        <v>#N/A</v>
      </c>
      <c r="BJ4" t="inlineStr">
        <is>
          <t>Vous manquez parfois de confiance en vos capacités.</t>
        </is>
      </c>
      <c r="BK4" t="inlineStr">
        <is>
          <t>Vous savez gérer vos émotions dans une situation stressantes.</t>
        </is>
      </c>
      <c r="BL4" t="inlineStr">
        <is>
          <t>Vous n’êtes pas du genre à perdre vos moyens facilement quand une personne tente de vous rabaisser.</t>
        </is>
      </c>
      <c r="BM4" t="inlineStr">
        <is>
          <t>Vous avez de la considération pour les autres. Vous aimez les encourager dans les moments difficiles.</t>
        </is>
      </c>
      <c r="BN4" t="e">
        <v>#N/A</v>
      </c>
      <c r="BO4" t="inlineStr">
        <is>
          <t>Vous êtes quelqu'un de sensible et on peut vous émouvoir facilement.</t>
        </is>
      </c>
      <c r="BP4" t="inlineStr">
        <is>
          <t>Vous aimez rester dans votre coin, surtout dans une salle remplie de monde.</t>
        </is>
      </c>
      <c r="BQ4" t="inlineStr">
        <is>
          <t>Il faut vraiment que vous appréciiez quelqu'un pour que vous puissiez partager vos avantages avec lui.</t>
        </is>
      </c>
      <c r="BR4" t="inlineStr">
        <is>
          <t>Vous aimez le travail en équipe tant que vous avez des affinité avec vos collaborateurs.</t>
        </is>
      </c>
      <c r="BS4" t="inlineStr">
        <is>
          <t>Vous avez un attrait pour la découverte d'autres cultures et d'autres langues.</t>
        </is>
      </c>
      <c r="BT4" t="inlineStr">
        <is>
          <t>Vous aimez parler et discuter avec les autres.</t>
        </is>
      </c>
      <c r="BU4" t="inlineStr">
        <is>
          <t>Vous avez une facilité à coopérer avec les gens. Mais il faut quand même un minimum de cordialité entre vous.</t>
        </is>
      </c>
      <c r="BV4" t="e">
        <v>#N/A</v>
      </c>
      <c r="BW4" t="inlineStr">
        <is>
          <t>Vous êtes tolérant envers les avis des autres. Même quand les avis négatifs peuvent vous concerner.</t>
        </is>
      </c>
      <c r="BX4" t="inlineStr">
        <is>
          <t>Vous prenez du plaisir à créer une communauté ou un réseau autour de vous. Vous êtes du genre à vous faire des amis rapidement.</t>
        </is>
      </c>
      <c r="BY4" t="e">
        <v>#N/A</v>
      </c>
      <c r="BZ4" t="inlineStr">
        <is>
          <t>Vous n'aimez pas les moments de silence et de gène. Votre sociabilité vous incite à lancer les conversations.</t>
        </is>
      </c>
      <c r="CA4" t="inlineStr">
        <is>
          <t>Vous pouvez parfois manquer d'autonomie dans ce que vous entreprenez.</t>
        </is>
      </c>
      <c r="CB4" t="inlineStr">
        <is>
          <t xml:space="preserve">Vous aimez déléguer une partie de votre travail, car cela vous permet de vous concentrer sur ce que vous considérez comme important.
</t>
        </is>
      </c>
      <c r="CC4" t="inlineStr">
        <is>
          <t>Vous aimez faciliter le travail des autres lorsque vous travaillez en groupe.</t>
        </is>
      </c>
      <c r="CD4" t="inlineStr">
        <is>
          <t>Vous n'êtes pas du genre à vouloir prévoir les évènements nuisibles. Vous préférez réagir aux conséquences que les prévenir.</t>
        </is>
      </c>
      <c r="CE4" t="inlineStr">
        <is>
          <t>Vous avez du mal à prendre des décisions qui peuvent entraîner des conséquences graves sur les autres.</t>
        </is>
      </c>
      <c r="CF4" t="inlineStr">
        <is>
          <t>Lorsque vous travaillez en groupe, vous aimez contrôler régulièrement l'avancée des travaux. vous avez un attrait pour la supervision.</t>
        </is>
      </c>
      <c r="CG4" t="inlineStr">
        <is>
          <t>Vous êtes plutôt quelqu'un de flexible, vous essayer de vous adapter aux changements.</t>
        </is>
      </c>
      <c r="CH4" t="inlineStr">
        <is>
          <t>Vous n'êtes pas perturbé par l'apparition d'évènements imprévus.</t>
        </is>
      </c>
      <c r="CI4" t="inlineStr">
        <is>
          <t>Vous cherchez à être équitable dans vos choix et décisions. Surtout quand cela peut impacter la vie des gens.</t>
        </is>
      </c>
      <c r="CJ4" t="inlineStr">
        <is>
          <t>Vous aimez résoudre les conflits entre les gens. Surtout ceux qui sont liés aux personnes de votre entourage proche.</t>
        </is>
      </c>
      <c r="CK4" t="inlineStr">
        <is>
          <t>Vous n'avez pas de difficulté à vouloir maintenir un travail de groupe efficace en travaillant à distance.</t>
        </is>
      </c>
      <c r="CL4" t="inlineStr">
        <is>
          <t>Vous n'aimez pas l'exclusion. Vous avez tendance à inclure les gens dans votre groupe si vous les sentez seuls ou isolés.</t>
        </is>
      </c>
      <c r="CM4" t="inlineStr">
        <is>
          <t>Vous avez un esprit d'initiative développé, et êtes courageux dans ce que vous entreprenez.</t>
        </is>
      </c>
      <c r="CN4" t="inlineStr">
        <is>
          <t>Vous valorisez facilement le travail ou les réussites des personnes de votre entourage.</t>
        </is>
      </c>
      <c r="CO4" t="inlineStr">
        <is>
          <t>Vous avez du charisme, mais vous pouvez encore le développer.</t>
        </is>
      </c>
      <c r="CP4" t="inlineStr">
        <is>
          <t>Vous aimez aider les autres à s’élever et se parfaire. Vous prodiguez souvent des conseils.</t>
        </is>
      </c>
      <c r="CQ4" t="inlineStr">
        <is>
          <t>Vous aimez prendre le lead quand un projet doit se mettre en place. Vous aimez montrer la voie à suivre.</t>
        </is>
      </c>
      <c r="CR4" t="inlineStr">
        <is>
          <t>Vous avez peu de difficulté à vous autoformer quand cela vous semble nécessaire.</t>
        </is>
      </c>
      <c r="CS4" t="inlineStr">
        <is>
          <t>Si vous trouvez une tâche ou une activité ennuyeuse, vous aurez énormément de mal à vous concentrer dessus, peu importe son importance.</t>
        </is>
      </c>
      <c r="CT4" t="inlineStr">
        <is>
          <t>Vous n'aimez pas vous fixer des objectifs qui vous semblent disproportionnés par rapport à vos capacités. Vous êtes réaliste.</t>
        </is>
      </c>
      <c r="CU4" t="inlineStr">
        <is>
          <t>Dans un projet de groupe, votre attention se porte plus sur les relations entre les membres que sur les outils nécessaires à sa réalisation.</t>
        </is>
      </c>
      <c r="CV4" t="inlineStr">
        <is>
          <t>Vous aimez gérer votre temps correctement et prendre de l'avance sur les activités.</t>
        </is>
      </c>
      <c r="CW4" t="inlineStr">
        <is>
          <t>Vous préférez prioriser les choses en fonction de ce qui est nécessaire de faire plutôt qu'en fonction de ce que vous préférez faire.</t>
        </is>
      </c>
      <c r="CX4" t="e">
        <v>#N/A</v>
      </c>
      <c r="CY4" t="e">
        <v>#N/A</v>
      </c>
      <c r="CZ4" t="inlineStr">
        <is>
          <t>Vous aimez planifier les choses. Vous n'aimez pas être débordé ou perturbé par un manque de prévision.</t>
        </is>
      </c>
      <c r="DA4" t="e">
        <v>#N/A</v>
      </c>
      <c r="DB4" t="inlineStr">
        <is>
          <t>Vous êtes souvent à la recherche de l'efficacité. Vous n'aimez pas les choses qui prennent trop de temps.</t>
        </is>
      </c>
      <c r="DC4" t="inlineStr">
        <is>
          <t>Vous êtes du type à facilement vous projeter mentalement dans une situation. Vous avez de l'imagination.</t>
        </is>
      </c>
      <c r="DD4" t="inlineStr">
        <is>
          <t>En général, vous faites tout pour respecter les délais et horaires fixés.</t>
        </is>
      </c>
      <c r="DE4" t="e">
        <v>#N/A</v>
      </c>
      <c r="DF4" t="e">
        <v>#N/A</v>
      </c>
      <c r="DH4" t="inlineStr">
        <is>
          <t>Oui.</t>
        </is>
      </c>
      <c r="DJ4" t="e">
        <v>#N/A</v>
      </c>
      <c r="DM4" t="inlineStr">
        <is>
          <t>Oui.</t>
        </is>
      </c>
      <c r="DN4" t="e">
        <v>#N/A</v>
      </c>
      <c r="DO4" t="inlineStr">
        <is>
          <t>Oui.</t>
        </is>
      </c>
      <c r="DP4" t="e">
        <v>#N/A</v>
      </c>
      <c r="DQ4" t="e">
        <v>#N/A</v>
      </c>
      <c r="DR4" t="inlineStr">
        <is>
          <t>Oui.</t>
        </is>
      </c>
      <c r="DT4" t="inlineStr">
        <is>
          <t>Oui.</t>
        </is>
      </c>
      <c r="DV4" t="inlineStr">
        <is>
          <t>Oui.</t>
        </is>
      </c>
      <c r="DY4" t="inlineStr">
        <is>
          <t>Oui.</t>
        </is>
      </c>
      <c r="DZ4" t="e">
        <v>#N/A</v>
      </c>
      <c r="EA4" t="e">
        <v>#N/A</v>
      </c>
      <c r="EB4" t="e">
        <v>#N/A</v>
      </c>
      <c r="EC4" t="e">
        <v>#N/A</v>
      </c>
      <c r="EE4" t="e">
        <v>#N/A</v>
      </c>
      <c r="EF4" t="inlineStr">
        <is>
          <t>Oui.</t>
        </is>
      </c>
      <c r="EH4" t="e">
        <v>#N/A</v>
      </c>
      <c r="EI4" t="e">
        <v>#N/A</v>
      </c>
      <c r="EL4" t="e">
        <v>#REF!</v>
      </c>
      <c r="EN4" t="inlineStr">
        <is>
          <t>Oui.</t>
        </is>
      </c>
      <c r="EQ4" t="inlineStr">
        <is>
          <t>Oui.</t>
        </is>
      </c>
      <c r="ES4" t="e">
        <v>#N/A</v>
      </c>
      <c r="ET4" t="inlineStr">
        <is>
          <t>Oui.</t>
        </is>
      </c>
      <c r="EV4" t="e">
        <v>#N/A</v>
      </c>
      <c r="EX4" t="e">
        <v>#N/A</v>
      </c>
      <c r="EZ4" t="e">
        <v>#N/A</v>
      </c>
      <c r="FA4" t="inlineStr">
        <is>
          <t>Oui.</t>
        </is>
      </c>
      <c r="FB4" t="e">
        <v>#N/A</v>
      </c>
      <c r="FC4" t="e">
        <v>#N/A</v>
      </c>
      <c r="FD4" t="inlineStr">
        <is>
          <t>Oui.</t>
        </is>
      </c>
      <c r="FH4" t="e">
        <v>#N/A</v>
      </c>
      <c r="FJ4" t="inlineStr">
        <is>
          <t>Oui.</t>
        </is>
      </c>
      <c r="FK4" t="inlineStr">
        <is>
          <t>Oui.</t>
        </is>
      </c>
      <c r="FP4" t="e">
        <v>#N/A</v>
      </c>
      <c r="FS4" t="e">
        <v>#N/A</v>
      </c>
      <c r="FU4" t="inlineStr">
        <is>
          <t>Oui.</t>
        </is>
      </c>
      <c r="FX4" t="inlineStr">
        <is>
          <t>Oui.</t>
        </is>
      </c>
      <c r="FY4" t="inlineStr">
        <is>
          <t>Oui.</t>
        </is>
      </c>
      <c r="GM4" t="inlineStr">
        <is>
          <t>Oui.</t>
        </is>
      </c>
      <c r="GO4" t="inlineStr">
        <is>
          <t>Oui.</t>
        </is>
      </c>
      <c r="GR4" t="e">
        <v>#N/A</v>
      </c>
      <c r="GS4" t="e">
        <v>#N/A</v>
      </c>
      <c r="GU4" t="e">
        <v>#N/A</v>
      </c>
    </row>
    <row r="5">
      <c r="A5" t="inlineStr">
        <is>
          <t>Kaïs</t>
        </is>
      </c>
      <c r="B5" t="inlineStr">
        <is>
          <t>FOFANA</t>
        </is>
      </c>
      <c r="C5" t="inlineStr">
        <is>
          <t>Peu développé</t>
        </is>
      </c>
      <c r="D5" t="inlineStr">
        <is>
          <t>Peu développé</t>
        </is>
      </c>
      <c r="E5" t="inlineStr">
        <is>
          <t>Développé</t>
        </is>
      </c>
      <c r="F5" t="inlineStr">
        <is>
          <t>Peu développé</t>
        </is>
      </c>
      <c r="G5" t="inlineStr">
        <is>
          <t>très développé</t>
        </is>
      </c>
      <c r="H5" t="inlineStr">
        <is>
          <t>très développé</t>
        </is>
      </c>
      <c r="I5" t="inlineStr">
        <is>
          <t>Développé</t>
        </is>
      </c>
      <c r="J5" t="inlineStr">
        <is>
          <t>Développé</t>
        </is>
      </c>
      <c r="K5" t="e">
        <v>#N/A</v>
      </c>
      <c r="L5" t="e">
        <v>#N/A</v>
      </c>
      <c r="M5" t="inlineStr">
        <is>
          <t>Vous savez aussi vous exprimer à l'écrit. En général, les gens comprennent facilement vos propos quand ils vous lisent.</t>
        </is>
      </c>
      <c r="N5" t="inlineStr">
        <is>
          <t>Vous avez de l'audace et êtes relativement spontané.</t>
        </is>
      </c>
      <c r="O5" t="inlineStr">
        <is>
          <t>Vous aimez motiver les autres à s'amuser.</t>
        </is>
      </c>
      <c r="P5" t="e">
        <v>#N/A</v>
      </c>
      <c r="Q5" t="inlineStr">
        <is>
          <t xml:space="preserve">Vous avez du mal à vous exprimer correctement. </t>
        </is>
      </c>
      <c r="R5" t="inlineStr">
        <is>
          <t>Vous êtes extrêmement diplomate dans vos propos, vous cherchez toujours les termes et tournures de phrases les moins choquantes.</t>
        </is>
      </c>
      <c r="S5" t="inlineStr">
        <is>
          <t>Vous considérez les phases de négociation comme des échanges agressifs et inutiles.</t>
        </is>
      </c>
      <c r="T5" t="e">
        <v>#N/A</v>
      </c>
      <c r="U5" t="inlineStr">
        <is>
          <t>Vous êtes quelqu'un de calme et réservé dans vos mouvements.</t>
        </is>
      </c>
      <c r="V5" t="e">
        <v>#N/A</v>
      </c>
      <c r="W5" t="e">
        <v>#N/A</v>
      </c>
      <c r="X5" t="inlineStr">
        <is>
          <t>Vous avez aussi tendance à éviter les prises de paroles en public. Ce n'est pas votre truc.</t>
        </is>
      </c>
      <c r="Y5" t="inlineStr">
        <is>
          <t>Vous avez de vraies difficultés à structurer vos pensées et votre discours lorsque vous évoquez un évènement ou des anecdotes.</t>
        </is>
      </c>
      <c r="Z5" t="inlineStr">
        <is>
          <t>Vous n'êtes pas du type à systématiquement actualiser vos connaissances lorsque vous parlez d'un sujet. Vous préférez utiliser votre expérience et vos souvenirs.</t>
        </is>
      </c>
      <c r="AA5" t="inlineStr">
        <is>
          <t>Vous avez une faculté de discernement élevé.</t>
        </is>
      </c>
      <c r="AB5" t="inlineStr">
        <is>
          <t>Vous avez aussi beaucoup d'humour. Vous riez parfois quand personne ne le fait, car vous êtes attentifs aux effets comiques.</t>
        </is>
      </c>
      <c r="AC5" t="inlineStr">
        <is>
          <t>Vous pouvez vous montrer ouvert d'esprit même quand une personne n'est pas d'accord avec vous sur un sujet qui vous concerne.</t>
        </is>
      </c>
      <c r="AD5" t="inlineStr">
        <is>
          <t>Vous pouvez souvent manquer d’imagination ou de créativité.</t>
        </is>
      </c>
      <c r="AE5" t="inlineStr">
        <is>
          <t>Vous n'êtes pas quelqu'un de curieux. En général, vous préférez que l'information vienne à vous.</t>
        </is>
      </c>
      <c r="AF5" t="e">
        <v>#N/A</v>
      </c>
      <c r="AG5" t="e">
        <v>#N/A</v>
      </c>
      <c r="AH5" t="e">
        <v>#N/A</v>
      </c>
      <c r="AI5" t="e">
        <v>#N/A</v>
      </c>
      <c r="AJ5" t="inlineStr">
        <is>
          <t>Vous préférez vous servir de votre intuition plutôt que de vos sens afin d'émettre un jugement.</t>
        </is>
      </c>
      <c r="AK5" t="e">
        <v>#N/A</v>
      </c>
      <c r="AL5" t="inlineStr">
        <is>
          <t>Lorsque vous rencontrez un problème, vous avez tendance à vous baser essentiellement sur votre intuition et vos aptitudes. Ce qui peut vous empêcher d'en identifier la source véritable.</t>
        </is>
      </c>
      <c r="AM5" t="inlineStr">
        <is>
          <t>Face à une complexité, vous préférez vous renseigner sur la source du problème pour pouvoir les résoudre.</t>
        </is>
      </c>
      <c r="AN5" t="e">
        <v>#N/A</v>
      </c>
      <c r="AO5" t="e">
        <v>#N/A</v>
      </c>
      <c r="AP5" t="inlineStr">
        <is>
          <t>En général, vous préférez perdre dans l'honneur que gagner dans le déshonneur.</t>
        </is>
      </c>
      <c r="AQ5" t="inlineStr">
        <is>
          <t>Vous avez une conscience professionnelle accrue.</t>
        </is>
      </c>
      <c r="AR5" t="e">
        <v>#N/A</v>
      </c>
      <c r="AS5" t="inlineStr">
        <is>
          <t>Vous trouvez idiot de se mettre en danger pour les autres, et détester quand leur faiblesse à un impact sur vous.</t>
        </is>
      </c>
      <c r="AT5" t="inlineStr">
        <is>
          <t>Vous êtes quelqu'un de digne. Vous n'aimez pas avoir la sensation d'avoir été aidé pour réussir.</t>
        </is>
      </c>
      <c r="AU5" t="inlineStr">
        <is>
          <t>Vous avez le sens des responsabilités et souhaitez souvent assumer vos erreurs.</t>
        </is>
      </c>
      <c r="AV5" t="inlineStr">
        <is>
          <t>Vous avez aussi le sens du sacrifice.</t>
        </is>
      </c>
      <c r="AW5" t="inlineStr">
        <is>
          <t>Vous n'êtes pas spécialement écoresponsable.</t>
        </is>
      </c>
      <c r="AX5" t="inlineStr">
        <is>
          <t>Vous êtes capable de vous engager même si cela peut vous nuire.</t>
        </is>
      </c>
      <c r="AY5" t="e">
        <v>#N/A</v>
      </c>
      <c r="AZ5" t="inlineStr">
        <is>
          <t>Vous pouvez souvent faire preuve d'intolérance quant aux avis des autres.</t>
        </is>
      </c>
      <c r="BA5" t="inlineStr">
        <is>
          <t>Les critiques vous irritent, mais vous préférez les écouter que de perdre un moyen de vous améliorer.</t>
        </is>
      </c>
      <c r="BB5" t="e">
        <v>#N/A</v>
      </c>
      <c r="BC5" t="inlineStr">
        <is>
          <t>Vous avez des difficultés à expliquer qui vous êtes vraiment. Comme si vous ne vous connaissez pas réellement.</t>
        </is>
      </c>
      <c r="BD5" t="e">
        <v>#N/A</v>
      </c>
      <c r="BE5" t="inlineStr">
        <is>
          <t>Vous manquez souvent d'empathie dans les situations ou cette faculté est de rigueur.</t>
        </is>
      </c>
      <c r="BF5" t="e">
        <v>#N/A</v>
      </c>
      <c r="BG5" t="inlineStr">
        <is>
          <t>Vous avez tendance à vous soucier plus de votre bien-être qu'a celui des autres.</t>
        </is>
      </c>
      <c r="BH5" t="e">
        <v>#N/A</v>
      </c>
      <c r="BI5" t="e">
        <v>#N/A</v>
      </c>
      <c r="BJ5" t="inlineStr">
        <is>
          <t>Vous manquez parfois de confiance en vos capacités.</t>
        </is>
      </c>
      <c r="BK5" t="inlineStr">
        <is>
          <t>Vous savez gérer vos émotions dans une situation stressantes.</t>
        </is>
      </c>
      <c r="BL5" t="inlineStr">
        <is>
          <t>Vous avez du mal à vous maîtriser quand vous vous sentez insulté ou rabaissé.</t>
        </is>
      </c>
      <c r="BM5" t="inlineStr">
        <is>
          <t>Vous avez de la considération pour les autres. Vous aimez les encourager dans les moments difficiles.</t>
        </is>
      </c>
      <c r="BN5" t="e">
        <v>#N/A</v>
      </c>
      <c r="BO5" t="inlineStr">
        <is>
          <t>Vous êtes quelqu'un de sensible et on peut vous émouvoir facilement.</t>
        </is>
      </c>
      <c r="BP5" t="inlineStr">
        <is>
          <t>Vous avez un aisance relationnel développée. Vous aimez découvrir les autres.</t>
        </is>
      </c>
      <c r="BQ5" t="inlineStr">
        <is>
          <t>Vous n'êtes pas du genre à partager vos avantages sans contrepartie.</t>
        </is>
      </c>
      <c r="BR5" t="inlineStr">
        <is>
          <t>Vous aimez le travail en équipe.</t>
        </is>
      </c>
      <c r="BS5" t="inlineStr">
        <is>
          <t>Vous avez un attrait pour la découverte d'autres cultures et d'autres langues.</t>
        </is>
      </c>
      <c r="BT5" t="inlineStr">
        <is>
          <t>Vous aimez parler et discuter avec les autres.</t>
        </is>
      </c>
      <c r="BU5" t="inlineStr">
        <is>
          <t>Vous avez une facilité à coopérer avec les gens. Mais il faut quand même un minimum de cordialité entre vous.</t>
        </is>
      </c>
      <c r="BV5" t="e">
        <v>#N/A</v>
      </c>
      <c r="BW5" t="inlineStr">
        <is>
          <t>Il vous arrive d’être peu tolérant et ouvert d’esprit quand quelqu’un à un avis contraire au vôtre.</t>
        </is>
      </c>
      <c r="BX5" t="inlineStr">
        <is>
          <t>Vous prenez du plaisir à créer une communauté ou un réseau autour de vous. Vous êtes du genre à vous faire des amis rapidement.</t>
        </is>
      </c>
      <c r="BY5" t="e">
        <v>#N/A</v>
      </c>
      <c r="BZ5" t="inlineStr">
        <is>
          <t>Vous êtes extrèmement sociable.</t>
        </is>
      </c>
      <c r="CA5" t="inlineStr">
        <is>
          <t>Vous pouvez parfois manquer d'autonomie dans ce que vous entreprenez.</t>
        </is>
      </c>
      <c r="CB5" t="inlineStr">
        <is>
          <t>Vous n'avez pas de difficulté déléguer une partie de votre travail aux autres.</t>
        </is>
      </c>
      <c r="CC5" t="inlineStr">
        <is>
          <t>Vous aimez faciliter le travail des autres lorsque vous travaillez en groupe.</t>
        </is>
      </c>
      <c r="CD5" t="inlineStr">
        <is>
          <t>Vous préférez prévoir les évènements néfastes d’un projet avant de le commencer, par peur de ne pas le mener à bien.</t>
        </is>
      </c>
      <c r="CE5" t="inlineStr">
        <is>
          <t>Vous avez du mal à prendre certaines décisions importantes, seul. Surtout quand elles vous touchent émotionnellement.</t>
        </is>
      </c>
      <c r="CF5" t="inlineStr">
        <is>
          <t>Vous aimez superviser et surveiller les activités ou les tâches qui doivent être réalisées.</t>
        </is>
      </c>
      <c r="CG5" t="inlineStr">
        <is>
          <t>Vous êtes plutôt quelqu'un de flexible, vous essayer de vous adapter aux changements.</t>
        </is>
      </c>
      <c r="CH5" t="inlineStr">
        <is>
          <t>Vous n'êtes pas perturbé par l'apparition d'évènements imprévus.</t>
        </is>
      </c>
      <c r="CI5" t="inlineStr">
        <is>
          <t>Vous recherchez plus l'égalité de traitement à l'équité de traitement. Vous aimez que tout le monde soit traité de la même façon, peu importe leur condition.</t>
        </is>
      </c>
      <c r="CJ5" t="inlineStr">
        <is>
          <t>Vous aimez résoudre les conflits entre les gens. Surtout ceux qui sont liés aux personnes de votre entourage proche.</t>
        </is>
      </c>
      <c r="CK5" t="inlineStr">
        <is>
          <t>Vous n'êtes pas un spécialiste de la coordination du travail à distance, vous préférez gérer les choses en présentiel.</t>
        </is>
      </c>
      <c r="CL5" t="inlineStr">
        <is>
          <t>Vous n'aimez pas l'exclusion. Vous avez tendance à inclure les gens dans votre groupe si vous les sentez seuls ou isolés.</t>
        </is>
      </c>
      <c r="CM5" t="inlineStr">
        <is>
          <t>Vous avez un esprit d'initiative développé.</t>
        </is>
      </c>
      <c r="CN5" t="inlineStr">
        <is>
          <t>Vous valorisez facilement le travail ou les réussites des personnes de votre entourage.</t>
        </is>
      </c>
      <c r="CO5" t="inlineStr">
        <is>
          <t>Vous devez probablement manquer de charisme.</t>
        </is>
      </c>
      <c r="CP5" t="inlineStr">
        <is>
          <t>Vous aimez aider les autres à s’élever et se parfaire. Vous prodiguez souvent des conseils.</t>
        </is>
      </c>
      <c r="CQ5" t="inlineStr">
        <is>
          <t>Vous n'aimez pas prendre le lead même quand vous le pouvez. Vous préférez laisser ça aux autres.</t>
        </is>
      </c>
      <c r="CR5" t="inlineStr">
        <is>
          <t>Vous n'aimez pas vous autoformer. Vous préférez avoir l'aide d'un mentor ou d'un professeur quand le besoin s'en ressent.</t>
        </is>
      </c>
      <c r="CS5" t="inlineStr">
        <is>
          <t>Si une tâche ou une activité ne vous intéresse pas, il vous est difficile de rester longtemps concentré dessus.</t>
        </is>
      </c>
      <c r="CT5" t="inlineStr">
        <is>
          <t>Vous n'aimez pas vous fixer des objectifs qui vous semblent disproportionnés par rapport à vos capacités. Vous êtes réaliste.</t>
        </is>
      </c>
      <c r="CU5" t="inlineStr">
        <is>
          <t>Dans un projet de groupe, vous vous focalisez plus sur les outils nécessaires sa réalisation qu'aux relations entre les membres.</t>
        </is>
      </c>
      <c r="CV5" t="inlineStr">
        <is>
          <t>Vous avez du mal à gérer votre temps correctement, lorsque vous entreprenez quelque chose.</t>
        </is>
      </c>
      <c r="CW5" t="inlineStr">
        <is>
          <t>Vous préférez prioriser les choses en fonction de ce que vous préférez faire, parfois au détriment de ce qui est urgent et important.</t>
        </is>
      </c>
      <c r="CX5" t="e">
        <v>#N/A</v>
      </c>
      <c r="CY5" t="e">
        <v>#N/A</v>
      </c>
      <c r="CZ5" t="inlineStr">
        <is>
          <t>Vous aimez planifier les choses. Vous n'aimez pas être débordé ou perturbé par un manque de prévision.</t>
        </is>
      </c>
      <c r="DA5" t="e">
        <v>#N/A</v>
      </c>
      <c r="DB5" t="inlineStr">
        <is>
          <t>Vous êtes souvent à la recherche de l'efficacité. Vous n'aimez pas les choses qui prennent trop de temps.</t>
        </is>
      </c>
      <c r="DC5" t="inlineStr">
        <is>
          <t>Vous êtes du type à facilement vous projeter mentalement dans une situation. Vous avez de l'imagination.</t>
        </is>
      </c>
      <c r="DD5" t="inlineStr">
        <is>
          <t>En général, vous faites tout pour respecter les délais et horaires fixés.</t>
        </is>
      </c>
      <c r="DE5" t="e">
        <v>#N/A</v>
      </c>
      <c r="DF5" t="e">
        <v>#N/A</v>
      </c>
      <c r="DJ5" t="e">
        <v>#N/A</v>
      </c>
      <c r="DK5" t="inlineStr">
        <is>
          <t>Oui.</t>
        </is>
      </c>
      <c r="DM5" t="inlineStr">
        <is>
          <t>Oui.</t>
        </is>
      </c>
      <c r="DN5" t="e">
        <v>#N/A</v>
      </c>
      <c r="DO5" t="inlineStr">
        <is>
          <t>Oui.</t>
        </is>
      </c>
      <c r="DP5" t="e">
        <v>#N/A</v>
      </c>
      <c r="DQ5" t="e">
        <v>#N/A</v>
      </c>
      <c r="DR5" t="inlineStr">
        <is>
          <t>Oui.</t>
        </is>
      </c>
      <c r="DS5" t="inlineStr">
        <is>
          <t>Oui.</t>
        </is>
      </c>
      <c r="DT5" t="inlineStr">
        <is>
          <t>Oui.</t>
        </is>
      </c>
      <c r="DX5" t="inlineStr">
        <is>
          <t>Oui.</t>
        </is>
      </c>
      <c r="DY5" t="inlineStr">
        <is>
          <t>Oui.</t>
        </is>
      </c>
      <c r="DZ5" t="e">
        <v>#N/A</v>
      </c>
      <c r="EA5" t="e">
        <v>#N/A</v>
      </c>
      <c r="EB5" t="e">
        <v>#N/A</v>
      </c>
      <c r="EC5" t="e">
        <v>#N/A</v>
      </c>
      <c r="ED5" t="inlineStr">
        <is>
          <t>Oui.</t>
        </is>
      </c>
      <c r="EE5" t="e">
        <v>#N/A</v>
      </c>
      <c r="EF5" t="inlineStr">
        <is>
          <t>Oui.</t>
        </is>
      </c>
      <c r="EH5" t="e">
        <v>#N/A</v>
      </c>
      <c r="EI5" t="e">
        <v>#N/A</v>
      </c>
      <c r="EL5" t="e">
        <v>#REF!</v>
      </c>
      <c r="EM5" t="inlineStr">
        <is>
          <t>Oui.</t>
        </is>
      </c>
      <c r="EQ5" t="inlineStr">
        <is>
          <t>Oui.</t>
        </is>
      </c>
      <c r="ES5" t="e">
        <v>#N/A</v>
      </c>
      <c r="ET5" t="inlineStr">
        <is>
          <t>Oui.</t>
        </is>
      </c>
      <c r="EV5" t="e">
        <v>#N/A</v>
      </c>
      <c r="EW5" t="inlineStr">
        <is>
          <t>Oui.</t>
        </is>
      </c>
      <c r="EX5" t="e">
        <v>#N/A</v>
      </c>
      <c r="EY5" t="inlineStr">
        <is>
          <t>Oui.</t>
        </is>
      </c>
      <c r="EZ5" t="e">
        <v>#N/A</v>
      </c>
      <c r="FA5" t="inlineStr">
        <is>
          <t>Oui.</t>
        </is>
      </c>
      <c r="FB5" t="e">
        <v>#N/A</v>
      </c>
      <c r="FC5" t="e">
        <v>#N/A</v>
      </c>
      <c r="FD5" t="inlineStr">
        <is>
          <t>Oui.</t>
        </is>
      </c>
      <c r="FF5" t="inlineStr">
        <is>
          <t>Oui.</t>
        </is>
      </c>
      <c r="FH5" t="e">
        <v>#N/A</v>
      </c>
      <c r="FK5" t="inlineStr">
        <is>
          <t>Oui.</t>
        </is>
      </c>
      <c r="FP5" t="e">
        <v>#N/A</v>
      </c>
      <c r="FQ5" t="inlineStr">
        <is>
          <t>Oui.</t>
        </is>
      </c>
      <c r="FS5" t="e">
        <v>#N/A</v>
      </c>
      <c r="FU5" t="inlineStr">
        <is>
          <t>Oui.</t>
        </is>
      </c>
      <c r="FY5" t="inlineStr">
        <is>
          <t>Oui.</t>
        </is>
      </c>
      <c r="GC5" t="inlineStr">
        <is>
          <t>Oui.</t>
        </is>
      </c>
      <c r="GE5" t="inlineStr">
        <is>
          <t>Oui.</t>
        </is>
      </c>
      <c r="GI5" t="inlineStr">
        <is>
          <t>Oui.</t>
        </is>
      </c>
      <c r="GK5" t="inlineStr">
        <is>
          <t>Oui.</t>
        </is>
      </c>
      <c r="GL5" t="inlineStr">
        <is>
          <t>Oui.</t>
        </is>
      </c>
      <c r="GM5" t="inlineStr">
        <is>
          <t>Oui.</t>
        </is>
      </c>
      <c r="GP5" t="inlineStr">
        <is>
          <t>Oui.</t>
        </is>
      </c>
      <c r="GQ5" t="inlineStr">
        <is>
          <t>Oui.</t>
        </is>
      </c>
      <c r="GR5" t="e">
        <v>#N/A</v>
      </c>
      <c r="GS5" t="e">
        <v>#N/A</v>
      </c>
      <c r="GU5" t="e">
        <v>#N/A</v>
      </c>
    </row>
    <row r="6">
      <c r="A6" t="inlineStr">
        <is>
          <t xml:space="preserve">Frédéric </t>
        </is>
      </c>
      <c r="B6" t="inlineStr">
        <is>
          <t>DAYAS</t>
        </is>
      </c>
      <c r="C6" t="inlineStr">
        <is>
          <t>Développé</t>
        </is>
      </c>
      <c r="D6" t="inlineStr">
        <is>
          <t>très développé</t>
        </is>
      </c>
      <c r="E6" t="inlineStr">
        <is>
          <t>très développé</t>
        </is>
      </c>
      <c r="F6" t="inlineStr">
        <is>
          <t>très développé</t>
        </is>
      </c>
      <c r="G6" t="inlineStr">
        <is>
          <t>très développé</t>
        </is>
      </c>
      <c r="H6" t="inlineStr">
        <is>
          <t>Développé</t>
        </is>
      </c>
      <c r="I6" t="inlineStr">
        <is>
          <t>Développé</t>
        </is>
      </c>
      <c r="J6" t="inlineStr">
        <is>
          <t>très développé</t>
        </is>
      </c>
      <c r="K6" t="e">
        <v>#N/A</v>
      </c>
      <c r="L6" t="e">
        <v>#N/A</v>
      </c>
      <c r="M6" t="inlineStr">
        <is>
          <t>Vous faites beaucoup de faute de français à l'écrit.</t>
        </is>
      </c>
      <c r="N6" t="inlineStr">
        <is>
          <t>Cependant vous avez peu d'audace ou de culot quand il s'agit de s'adresser aux personnes qui vous semblent impressionnantes.</t>
        </is>
      </c>
      <c r="O6" t="inlineStr">
        <is>
          <t>Vous êtes quelqu'un d'enthousiaste et de dynamique.</t>
        </is>
      </c>
      <c r="P6" t="e">
        <v>#N/A</v>
      </c>
      <c r="Q6" t="inlineStr">
        <is>
          <t>Vous êtes clair quand vous vous exprimez à l'orale, ceux qui vous écoutent comprennent facilement vos propos.</t>
        </is>
      </c>
      <c r="R6" t="inlineStr">
        <is>
          <t>Vous aimez relater les faits de façon claire et précise, vous n'aimez pas les discours fallacieux.</t>
        </is>
      </c>
      <c r="S6" t="inlineStr">
        <is>
          <t>Vous préférez éviter les phases de négociations corsées, quitte à perdre des opportunités.</t>
        </is>
      </c>
      <c r="T6" t="e">
        <v>#N/A</v>
      </c>
      <c r="U6" t="inlineStr">
        <is>
          <t>Lorsque vous parlez, vous avez une attitude corporelle théâtrale. Vous bougez énormément.</t>
        </is>
      </c>
      <c r="V6" t="e">
        <v>#N/A</v>
      </c>
      <c r="W6" t="e">
        <v>#N/A</v>
      </c>
      <c r="X6" t="inlineStr">
        <is>
          <t>Vous n'avez aucun problème à vous exprimer devant une foule. Vous n'êtes pas timide.</t>
        </is>
      </c>
      <c r="Y6" t="inlineStr">
        <is>
          <t>Vous savez raconter les histoires et les anecdotes. En général, les gens vous écoutent attentivement.</t>
        </is>
      </c>
      <c r="Z6" t="inlineStr">
        <is>
          <t>Vous n'êtes pas du type à systématiquement actualiser vos connaissances lorsque vous parlez d'un sujet. Vous préférez utiliser votre expérience et vos souvenirs.</t>
        </is>
      </c>
      <c r="AA6" t="inlineStr">
        <is>
          <t>Vous avez une faculté de discernement élevé.</t>
        </is>
      </c>
      <c r="AB6" t="inlineStr">
        <is>
          <t>Vous avez très peu d'humour quand vous vous retrouvez dans une situation qui demande de l'observation et de la concentration !</t>
        </is>
      </c>
      <c r="AC6" t="inlineStr">
        <is>
          <t>Vous pouvez vous montrer ouvert d'esprit même quand une personne n'est pas d'accord avec vous sur certains sujets.</t>
        </is>
      </c>
      <c r="AD6" t="inlineStr">
        <is>
          <t>Vous êtes quelqu'un de créatif. Vous avez  beaucoup d'imagination.</t>
        </is>
      </c>
      <c r="AE6" t="inlineStr">
        <is>
          <t>Vous êtes aussi quelqu'un de curieux, et vous aimez aller à la recherche de l'information quand un sujet vous plaît.</t>
        </is>
      </c>
      <c r="AF6" t="e">
        <v>#N/A</v>
      </c>
      <c r="AG6" t="e">
        <v>#N/A</v>
      </c>
      <c r="AH6" t="e">
        <v>#N/A</v>
      </c>
      <c r="AI6" t="e">
        <v>#N/A</v>
      </c>
      <c r="AJ6" t="inlineStr">
        <is>
          <t>Vous utilisez plus vos sens que votre intuition pour juger et prendre des décisions. Vous aimez les éléments tangibles aux théories. Vous êtes observateur.</t>
        </is>
      </c>
      <c r="AK6" t="e">
        <v>#N/A</v>
      </c>
      <c r="AL6" t="inlineStr">
        <is>
          <t>Afin de résoudre un problème, vous préférez vous renseigner sur le sujet dans le but d'avoir tous les paramètres nécessaires à sa résolution.</t>
        </is>
      </c>
      <c r="AM6" t="inlineStr">
        <is>
          <t>Face à une complexité, vous préférez vous renseigner sur la source du problème pour pouvoir les résoudre.</t>
        </is>
      </c>
      <c r="AN6" t="e">
        <v>#N/A</v>
      </c>
      <c r="AO6" t="e">
        <v>#N/A</v>
      </c>
      <c r="AP6" t="inlineStr">
        <is>
          <t>Dans les situations qui peuvent vous avantager, vous pouvez transgresser certaines règles seulement si vous êtes sûr de ne jamais vous faire prendre.</t>
        </is>
      </c>
      <c r="AQ6" t="inlineStr">
        <is>
          <t>Vous avez une conscience professionnelle accrue.</t>
        </is>
      </c>
      <c r="AR6" t="e">
        <v>#N/A</v>
      </c>
      <c r="AS6" t="inlineStr">
        <is>
          <t>Vous êtes quelqu’un de loyal.</t>
        </is>
      </c>
      <c r="AT6" t="inlineStr">
        <is>
          <t>Vous êtes quelqu'un de digne. Vous n'aimez pas avoir la sensation d'avoir été aidé pour réussir.</t>
        </is>
      </c>
      <c r="AU6" t="inlineStr">
        <is>
          <t>Vous avez le sens des responsabilités et souhaitez souvent assumer vos erreurs.</t>
        </is>
      </c>
      <c r="AV6" t="inlineStr">
        <is>
          <t>Vous pensez plus aux autres qu'à vous-même quand vous avez le choix.</t>
        </is>
      </c>
      <c r="AW6" t="inlineStr">
        <is>
          <t>Vous avez un attrait pour la protection de l'environnement.</t>
        </is>
      </c>
      <c r="AX6" t="inlineStr">
        <is>
          <t>Vous ne pouvez pas vous engager si vous ressentez que cela peut vous nuire.</t>
        </is>
      </c>
      <c r="AY6" t="e">
        <v>#N/A</v>
      </c>
      <c r="AZ6" t="inlineStr">
        <is>
          <t>Vous êtes tolérant envers les autres et considérer leur avis même s'ils sont à l'opposé de vos croyances..</t>
        </is>
      </c>
      <c r="BA6" t="inlineStr">
        <is>
          <t>Les critiques vous irritent, mais vous préférez les écouter que de perdre un moyen de vous améliorer.</t>
        </is>
      </c>
      <c r="BB6" t="e">
        <v>#N/A</v>
      </c>
      <c r="BC6" t="inlineStr">
        <is>
          <t>Vous arrivez à comprendre vos émotions et à les expliquer, mais pas facilement.</t>
        </is>
      </c>
      <c r="BD6" t="e">
        <v>#N/A</v>
      </c>
      <c r="BE6" t="inlineStr">
        <is>
          <t>Vous êtes quelqu'un d'empathique. Vous arrivez à vous mettre à la place des autres.</t>
        </is>
      </c>
      <c r="BF6" t="e">
        <v>#N/A</v>
      </c>
      <c r="BG6" t="inlineStr">
        <is>
          <t>Vous êtes bienveillant avec les personnes que vous appréciez.</t>
        </is>
      </c>
      <c r="BH6" t="e">
        <v>#N/A</v>
      </c>
      <c r="BI6" t="e">
        <v>#N/A</v>
      </c>
      <c r="BJ6" t="inlineStr">
        <is>
          <t>En général, vous avez confiance en vos capacités. Vous êtes courageux dans ce que vous entreprenez</t>
        </is>
      </c>
      <c r="BK6" t="inlineStr">
        <is>
          <t>Vous savez gérer vos émotions dans une situation stressantes.</t>
        </is>
      </c>
      <c r="BL6" t="inlineStr">
        <is>
          <t>Vous avez du mal à vous maîtriser quand vous vous sentez insulté ou rabaissé.</t>
        </is>
      </c>
      <c r="BM6" t="inlineStr">
        <is>
          <t>Vous avez de la considération pour les autres. Vous aimez les encourager dans les moments difficiles.</t>
        </is>
      </c>
      <c r="BN6" t="e">
        <v>#N/A</v>
      </c>
      <c r="BO6" t="inlineStr">
        <is>
          <t>Vous pouvez parfois manquer de sensibilité sur des sujets que d'autres trouveraient émouvant.</t>
        </is>
      </c>
      <c r="BP6" t="inlineStr">
        <is>
          <t>Vous avez un aisance relationnel développée.</t>
        </is>
      </c>
      <c r="BQ6" t="inlineStr">
        <is>
          <t>Vous n'êtes pas du genre à être généreux avec les gens sans un minimum d'affinités.</t>
        </is>
      </c>
      <c r="BR6" t="inlineStr">
        <is>
          <t>Vous aimez le travail en équipe.</t>
        </is>
      </c>
      <c r="BS6" t="inlineStr">
        <is>
          <t>Vous avez un attrait pour la découverte d'autres cultures et d'autres langues.</t>
        </is>
      </c>
      <c r="BT6" t="inlineStr">
        <is>
          <t>Vous aimez parler et discuter avec les autres.</t>
        </is>
      </c>
      <c r="BU6" t="inlineStr">
        <is>
          <t>Vous avez une facilité à coopérer avec les gens. Mais il faut quand même un minimum de cordialité entre vous.</t>
        </is>
      </c>
      <c r="BV6" t="e">
        <v>#N/A</v>
      </c>
      <c r="BW6" t="inlineStr">
        <is>
          <t>Il vous arrive d’être peu tolérant et ouvert d’esprit quand quelqu’un à un avis contraire au vôtre.</t>
        </is>
      </c>
      <c r="BX6" t="inlineStr">
        <is>
          <t>Vous préférez avoir un petit groupe d'amis plutôt qu’une multitude de connaissances. Ce qui peut vous empêcher d’avoir un réseau de connaissances large.</t>
        </is>
      </c>
      <c r="BY6" t="e">
        <v>#N/A</v>
      </c>
      <c r="BZ6" t="inlineStr">
        <is>
          <t>Vous n'aimez pas les moments de silence et de gène. Votre sociabilité vous incite à lancer les conversations.</t>
        </is>
      </c>
      <c r="CA6" t="inlineStr">
        <is>
          <t>Vous pouvez parfois manquer d'autonomie dans ce que vous entreprenez.</t>
        </is>
      </c>
      <c r="CB6" t="inlineStr">
        <is>
          <t xml:space="preserve">Vous aimez déléguer une partie de votre travail, car cela vous permet de vous concentrer sur ce que vous considérez comme important.
</t>
        </is>
      </c>
      <c r="CC6" t="inlineStr">
        <is>
          <t>Vous aimez faciliter le travail des autres lorsque vous travaillez en groupe.</t>
        </is>
      </c>
      <c r="CD6" t="inlineStr">
        <is>
          <t>Vous préférez prévoir les évènements néfastes d’un projet avant de le commencer, par peur de ne pas le mener à bien.</t>
        </is>
      </c>
      <c r="CE6" t="inlineStr">
        <is>
          <t>Vous n'avez aucun mal prendre des décisions  seul, même quand elles peuvent être dificilles et avoir de lourdes conséquences sur les autres.</t>
        </is>
      </c>
      <c r="CF6" t="inlineStr">
        <is>
          <t>Vous aimez superviser et surveiller les activités ou les tâches qui doivent être réalisées.</t>
        </is>
      </c>
      <c r="CG6" t="inlineStr">
        <is>
          <t>Vous pouvez parfois être intransigeant quant au changement de dernières minutes, à la modification de règles ou de processus.</t>
        </is>
      </c>
      <c r="CH6" t="inlineStr">
        <is>
          <t>Vous détestez être pris de court. Vous avez d'ailleurs du mal à gérer émotionnellement avec les évènements imprévus.</t>
        </is>
      </c>
      <c r="CI6" t="inlineStr">
        <is>
          <t>Vous cherchez à être équitable dans vos choix et décisions. Surtout quand cela peut impacter la vie des gens.</t>
        </is>
      </c>
      <c r="CJ6" t="inlineStr">
        <is>
          <t>Vous n'aimez pas intervenir et gérer les conflits entre les gens. Vous trouvez cet exercice fatigant ou risqué.</t>
        </is>
      </c>
      <c r="CK6" t="inlineStr">
        <is>
          <t>Vous n'avez pas de difficulté à vouloir maintenir un travail de groupe efficace en travaillant à distance.</t>
        </is>
      </c>
      <c r="CL6" t="inlineStr">
        <is>
          <t>Vous n'êtes pas du genre à vouloir inclure des gens dans votre groupe si vous estimez qu'ils ne vous apporteront rien.</t>
        </is>
      </c>
      <c r="CM6" t="inlineStr">
        <is>
          <t>Vous avez un esprit d'initiative développé.</t>
        </is>
      </c>
      <c r="CN6" t="inlineStr">
        <is>
          <t>Vous valorisez facilement le travail ou les réussites des personnes de votre entourage.</t>
        </is>
      </c>
      <c r="CO6" t="inlineStr">
        <is>
          <t>Vous avez du charisme, mais vous pouvez encore le développer.</t>
        </is>
      </c>
      <c r="CP6" t="inlineStr">
        <is>
          <t>Vous aimez aider les autres à s’élever et se parfaire. Vous prodiguez souvent des conseils.</t>
        </is>
      </c>
      <c r="CQ6" t="inlineStr">
        <is>
          <t>Vous n'aimez pas prendre le lead même quand vous le pouvez. Vous préférez laisser ça aux autres.</t>
        </is>
      </c>
      <c r="CR6" t="inlineStr">
        <is>
          <t>Vous n'aimez pas vous autoformer. Vous préférez avoir l'aide d'un mentor ou d'un professeur quand le besoin s'en ressent.</t>
        </is>
      </c>
      <c r="CS6" t="inlineStr">
        <is>
          <t>Vous n’avez pas besoin d’apprécier une tâche ou une activité, afin de vous concentrer pleinement dessus.</t>
        </is>
      </c>
      <c r="CT6" t="inlineStr">
        <is>
          <t>Vous n'aimez pas vous fixer des objectifs qui vous semblent disproportionnés par rapport à vos capacités. Vous êtes réaliste.</t>
        </is>
      </c>
      <c r="CU6" t="inlineStr">
        <is>
          <t>Dans un projet de groupe, vous vous focalisez plus sur les outils nécessaires sa réalisation qu'aux relations entre les membres.</t>
        </is>
      </c>
      <c r="CV6" t="inlineStr">
        <is>
          <t>Vous aimez gérer votre temps correctement et prendre de l'avance sur les activités.</t>
        </is>
      </c>
      <c r="CW6" t="inlineStr">
        <is>
          <t>Vous préférez prioriser les choses en fonction de ce qui est nécessaire de faire plutôt qu'en fonction de ce que vous préférez faire.</t>
        </is>
      </c>
      <c r="CX6" t="e">
        <v>#N/A</v>
      </c>
      <c r="CY6" t="e">
        <v>#N/A</v>
      </c>
      <c r="CZ6" t="inlineStr">
        <is>
          <t>Vous n'aimez pas planifier les choses et vous avez parfois du mal à le faire.</t>
        </is>
      </c>
      <c r="DA6" t="e">
        <v>#N/A</v>
      </c>
      <c r="DB6" t="inlineStr">
        <is>
          <t>Vous êtes souvent à la recherche de l'efficacité. Vous n'aimez pas les choses qui prennent trop de temps.</t>
        </is>
      </c>
      <c r="DC6" t="inlineStr">
        <is>
          <t>En général, vous avez du mal à vous projeter mentalement  dans une situation future.</t>
        </is>
      </c>
      <c r="DD6" t="inlineStr">
        <is>
          <t>En général, vous faites tout pour respecter les délais et horaires fixés.</t>
        </is>
      </c>
      <c r="DE6" t="e">
        <v>#N/A</v>
      </c>
      <c r="DF6" t="e">
        <v>#N/A</v>
      </c>
      <c r="DG6" t="inlineStr">
        <is>
          <t>Oui.</t>
        </is>
      </c>
      <c r="DH6" t="inlineStr">
        <is>
          <t>Oui.</t>
        </is>
      </c>
      <c r="DJ6" t="e">
        <v>#N/A</v>
      </c>
      <c r="DL6" t="inlineStr">
        <is>
          <t>Oui.</t>
        </is>
      </c>
      <c r="DM6" t="inlineStr">
        <is>
          <t>Oui.</t>
        </is>
      </c>
      <c r="DN6" t="e">
        <v>#N/A</v>
      </c>
      <c r="DP6" t="e">
        <v>#N/A</v>
      </c>
      <c r="DQ6" t="e">
        <v>#N/A</v>
      </c>
      <c r="DT6" t="inlineStr">
        <is>
          <t>Oui.</t>
        </is>
      </c>
      <c r="DV6" t="inlineStr">
        <is>
          <t>Oui.</t>
        </is>
      </c>
      <c r="DZ6" t="e">
        <v>#N/A</v>
      </c>
      <c r="EA6" t="e">
        <v>#N/A</v>
      </c>
      <c r="EB6" t="e">
        <v>#N/A</v>
      </c>
      <c r="EC6" t="e">
        <v>#N/A</v>
      </c>
      <c r="EE6" t="e">
        <v>#N/A</v>
      </c>
      <c r="EH6" t="e">
        <v>#N/A</v>
      </c>
      <c r="EI6" t="e">
        <v>#N/A</v>
      </c>
      <c r="EJ6" t="inlineStr">
        <is>
          <t>Oui.</t>
        </is>
      </c>
      <c r="EL6" t="e">
        <v>#REF!</v>
      </c>
      <c r="ER6" t="inlineStr">
        <is>
          <t>Oui.</t>
        </is>
      </c>
      <c r="ES6" t="e">
        <v>#N/A</v>
      </c>
      <c r="EV6" t="e">
        <v>#N/A</v>
      </c>
      <c r="EX6" t="e">
        <v>#N/A</v>
      </c>
      <c r="EZ6" t="e">
        <v>#N/A</v>
      </c>
      <c r="FB6" t="e">
        <v>#N/A</v>
      </c>
      <c r="FC6" t="e">
        <v>#N/A</v>
      </c>
      <c r="FF6" t="inlineStr">
        <is>
          <t>Oui.</t>
        </is>
      </c>
      <c r="FH6" t="e">
        <v>#N/A</v>
      </c>
      <c r="FI6" t="inlineStr">
        <is>
          <t>Oui.</t>
        </is>
      </c>
      <c r="FP6" t="e">
        <v>#N/A</v>
      </c>
      <c r="FQ6" t="inlineStr">
        <is>
          <t>Oui.</t>
        </is>
      </c>
      <c r="FR6" t="inlineStr">
        <is>
          <t>Oui.</t>
        </is>
      </c>
      <c r="FS6" t="e">
        <v>#N/A</v>
      </c>
      <c r="FU6" t="inlineStr">
        <is>
          <t>Oui.</t>
        </is>
      </c>
      <c r="GA6" t="inlineStr">
        <is>
          <t>Oui.</t>
        </is>
      </c>
      <c r="GB6" t="inlineStr">
        <is>
          <t>Oui.</t>
        </is>
      </c>
      <c r="GD6" t="inlineStr">
        <is>
          <t>Oui.</t>
        </is>
      </c>
      <c r="GF6" t="inlineStr">
        <is>
          <t>Oui.</t>
        </is>
      </c>
      <c r="GK6" t="inlineStr">
        <is>
          <t>Oui.</t>
        </is>
      </c>
      <c r="GL6" t="inlineStr">
        <is>
          <t>Oui.</t>
        </is>
      </c>
      <c r="GR6" t="e">
        <v>#N/A</v>
      </c>
      <c r="GS6" t="e">
        <v>#N/A</v>
      </c>
      <c r="GT6" t="inlineStr">
        <is>
          <t>Oui.</t>
        </is>
      </c>
      <c r="GU6" t="e">
        <v>#N/A</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3:H12"/>
  <sheetViews>
    <sheetView zoomScale="80" zoomScaleNormal="80" workbookViewId="0">
      <pane xSplit="2" ySplit="4" topLeftCell="C5" activePane="bottomRight" state="frozen"/>
      <selection activeCell="A4" sqref="A4"/>
      <selection pane="topRight" activeCell="A4" sqref="A4"/>
      <selection pane="bottomLeft" activeCell="A4" sqref="A4"/>
      <selection pane="bottomRight" activeCell="G10" sqref="G10"/>
    </sheetView>
  </sheetViews>
  <sheetFormatPr baseColWidth="10" defaultRowHeight="14.4"/>
  <cols>
    <col width="24.44140625" bestFit="1" customWidth="1" min="2" max="2"/>
    <col width="29.109375" customWidth="1" min="3" max="3"/>
    <col width="28.44140625" customWidth="1" min="4" max="5"/>
    <col width="26.109375" customWidth="1" min="6" max="6"/>
    <col width="28.44140625" customWidth="1" style="5" min="7" max="7"/>
    <col width="28.44140625" customWidth="1" min="8" max="8"/>
  </cols>
  <sheetData>
    <row r="3">
      <c r="B3" s="6" t="n"/>
      <c r="C3" s="49" t="inlineStr">
        <is>
          <t>Développé</t>
        </is>
      </c>
      <c r="D3" s="51" t="n"/>
      <c r="E3" s="49" t="inlineStr">
        <is>
          <t>Métier</t>
        </is>
      </c>
      <c r="F3" s="49" t="inlineStr">
        <is>
          <t>Peu développé</t>
        </is>
      </c>
      <c r="G3" s="51" t="n"/>
      <c r="H3" s="49" t="inlineStr">
        <is>
          <t>Métier</t>
        </is>
      </c>
    </row>
    <row r="4">
      <c r="B4" s="6" t="inlineStr">
        <is>
          <t>Catégories</t>
        </is>
      </c>
      <c r="C4" s="6" t="inlineStr">
        <is>
          <t xml:space="preserve">Forces </t>
        </is>
      </c>
      <c r="D4" s="6" t="inlineStr">
        <is>
          <t>Faiblesses :</t>
        </is>
      </c>
      <c r="E4" s="6" t="n"/>
      <c r="F4" s="6" t="inlineStr">
        <is>
          <t>Forces</t>
        </is>
      </c>
      <c r="G4" s="7" t="inlineStr">
        <is>
          <t>Faiblesses</t>
        </is>
      </c>
      <c r="H4" s="6" t="n"/>
    </row>
    <row r="5" ht="409.6" customHeight="1">
      <c r="B5" s="7" t="inlineStr">
        <is>
          <t>Esprit critique</t>
        </is>
      </c>
      <c r="C5" s="7" t="inlineStr">
        <is>
          <t>Votre  esprit essaye de réagir avec logique et pragmatisme, ce qui peut vous permettre de prendre des décisions logiques et rationnelles. vous avez une capacité de discernement et d'analyse développée. Vous savez vous poser les bonnes question et prendre des décisions les plus adaptées. ce qui peut vous permettre d'identifier la source de problème complexes. Vous avez aussi un certain sens de l'observation ce qui peut parfois s'apparenter au sens esthétique ou artistique. vous aimer donner des conseils afin d'améliorer les choses. vous avez un esprit créatif qui recherche souvent l'amélioration et la nouvauté. vous êtes aussi quelqu'un de curieux car vous aimez connaitre les choses pour pouvoir mieux les comprendre. vous avez aussi la faculter de préparer des argumentaire précis et convaincant basé sur un raisonement logique et des preuves. vous avez aussi une capacité et un besoin de résoudre les problème complexe, l'inverse serait un gène mental pour vous. votre capacité à juger les choses est surtout basé sur les éléments tangibles à votre disposition.</t>
        </is>
      </c>
      <c r="D5" s="7" t="inlineStr">
        <is>
          <t>vous pouvoir avoir tendance à tous remettre en questions tout ce que vous voyez et entendez.   De plus cela peut vous rendre indécis, a un point ou vous pouvez hésiter à prendre la moindre décisions par peur de ne pas prendre la meilleur. votre franchise est parfois mal apprécié par des personnes ayant besoin d'encouragement, ou sensible aux critiques, notamment les personnes proches. votre sens du discernement peut ne pas fonctionner dans le cadre de la lecture des émotions des autres, car elle sont rarement tangibles.Vous pouvez aussi ne jamais être satisfait, ce qui peut vous empêcher d'avancer rapidement sur ce que vous entreprenez. vous pouvez aussi avoir tendance à sur argumenter la il faudrait juste se taire. le silence est d'or est un dicton que vous avez parfois mal à suivre. ceux qui ont un esprit critique développé peuvent aussi avoir du mal à recevoir des critiques, si leur intélligence émotionnelle n'est pas développée.</t>
        </is>
      </c>
      <c r="E5" s="7" t="inlineStr">
        <is>
          <t>Avocats, actuaires,analystes commercial,analyste financier, analystes des risques, ingénieur prévisionnistes, économistes, expert comptable, contrôleur de gestion, documentalistes Médecins, Ingénieurs, veille stratégique, journalistes, détective, scientifiques, désinateur ou designer, web designer, esthétique, mode, métier artistique, dessinateur critique littéraire ou cinématographiques. Consultant d'entreprise, juges des affaires familliales, juges des enfants, inspecteurs, policie des polices,</t>
        </is>
      </c>
      <c r="F5" s="7" t="inlineStr">
        <is>
          <t>Vous avez un vue d'ensemble et ne vous arrêtez pas forcément aux détails qui pourrait vous ralentir votre  compréhension des choses, ou l'avancement de vos projets. Vous pensez simplement et avancer rapidement la ou d'autres bloqueraient sur des détails parfois inutiles.  vous ne passer pas votre temps a vouloir changer les choses, vous préferer profiter du moment présent.  vous pouvez être terre à terre, et plutot simple dans vos choix de vie.  vous êtes dans l'éfficacité et l'impulsion.  vous avez un certains sens de la hierarchie, vous respecter facilement les ordres ce qui faite de vous un très bon soutient.</t>
        </is>
      </c>
      <c r="G5" s="7" t="inlineStr">
        <is>
          <t>Vous ne remetez pas beaucoup de choses en questions et croyez parfois trop rapidement ce qu'on vous dit ou ce que vous lisez. vous pouvez donc avoir tendance à suivre le courant au lieu de créer et suivre vos propres idées ou les imposer. vous êtes sensible aux théories qui peuvent paraître vrai mais qui n'on pas été prouvés, ce qui peut parfois vous empêcher de penser simplement quand la réponse est juste devant vous. Vos travaux et analyses peuvent parfois manquer de profondeur, ce qui peut vous induire en erreur ou surtout diminuer la qualité de vos travaux. parfois, il peut vous arriver d'oublier un détail qui pourraient remettre en question tous vos travaux ou projet.  vous n'êtes pas trop curieux sur les sujet qui ne vous interesse pas, de ce fait vous ne penser pas a réactualiser vos connaissance. vous pouvez aussi manquer d'imagination et de créativité. ce qui vous empèche d'être dans des emploie neccessitant d'innover ou de résoudre des problèmes complexes. vous pouvez parfois manquer d'ouverture d'esprit. vous pouvez aussi anquer de rigueur dans votre travail, les métier trop pointilleux peuvent vous poser des difficultés.</t>
        </is>
      </c>
      <c r="H5" s="7" t="inlineStr">
        <is>
          <t>Soldat, militaire, sportif, agent de police, agent administratif</t>
        </is>
      </c>
    </row>
    <row r="6" ht="409.6" customHeight="1">
      <c r="B6" s="7" t="inlineStr">
        <is>
          <t>Organisation</t>
        </is>
      </c>
      <c r="C6" s="7" t="inlineStr">
        <is>
          <t>vous êtes une personnes méthodique. vous pouvez donc vous montrer patient dans mise en place de vos projets ou réalisations. Vous n'aimez rien laisser au hasard. Vous savez organisez et planifier les évènements et les projets. lorsque vous établisser un marche à suivre vous souhaitez la respecter à la lettre. ce qui veut qire que vous avez un facilité a fixer des objectifs. Vous aimez que les choses aient un place bien défini et que les activités aient des horaires bien définis. vous aimez respecter les délais et les horaires et êtes plutot ponctuel. vous êtes quelqu'un de rigoureux et vous pouvez vous montrer persévérent et strict quand il s'agit de finir ce que vous avez commencé. Vous avez la capacité de faire gagner du temps. vous pouvez aussi être bon dans la gestion de l'argent, car vous ne souhaite pas être prix au dépourvu financièrement. on eput aussi compter sur vous car vous êtes un personne de confiance.</t>
        </is>
      </c>
      <c r="D6" s="7" t="inlineStr">
        <is>
          <t>vous pouvez être rigide quand aux des régles et procédure à suivre. De plus si votre organisation est perturbé par un évènement hasardeux, vous pouver vous enerver vite ou perdre vos moyens. vous détester les environnements trop flexible et au changement régulier. Vous pouvez être allergique au changement et pouvez parfois manquez de spontanéïté.vous préferez les évènement planifiés et pouvez être perturbé quand on vous prend de court. vous pouvez aussi stresser quand les choses sont faites à la dernière minute. vous avez tendance à ne pas savoir profiter du moment car vous passez votre temps à vouloir anticiper, organiser les choses, d'ailleurs ce manque de spontaénité peut aussi vous faire stresser car vous avez toujours besoin d'avoir la sensation de maitriser les évènement et avez peur de tout voir s'écrouler si vous n'êtes pas au commande des process. attention à la charge mentale car à tout vouloir maitriser vous risquer d'avoir un surcharge de stress. Ce besoin d'organisation peut aussi avoir tendance à agacer les autres surtout vos proches.</t>
        </is>
      </c>
      <c r="E6" s="7" t="inlineStr">
        <is>
          <t>Assistant de gestion, Adjoint administratifs,  responsable administratifs,  agent général d'assurance, assistant de projet, chef de projet, assistant conducteur de travaux, administrateur réseaux, assistant conducteur de travaux, assistant de direction, assistant manager, chargée de production musicale, chef de comptable, expert comptable, chef de fabrication, chef de mission humanitaire, chef de produit touristique, chef de rayon, chef de secteur, chef magasinier, directeur logistique, logisticien, responsable des transport,directeur de club de football, directeur des opérations, directeur des ressources humaines, directeur des soins mileux hospitalier, directeur système d'information, directeur financier, directeur marketing, directeur technique. directeur territorial, ergonome, fiscaliste, gestionaire de paie, gestionnaire de parc automobile, gestionnaire de par informatique, gestionnaire de stock, ingénieur en fonderie, ingenieur en génie civie, responsable d'atelier, responsable d'entrepôt, responsable de gestion, administrative, responsable rémunération, responsable Qualité, sous préfet, wedding planner, organisateur d'évènement.</t>
        </is>
      </c>
      <c r="F6" s="7" t="inlineStr">
        <is>
          <t xml:space="preserve">Vous êtes plutôt quelqu'un qui agit en fonction de la situation et vous n'aimer pas passer trop de temps à préparer un plan. Vous avez donc un esprit flexible qui souhaite s'adapter en fonction des évènement. De plus vous êtes plutôt spontané dans vos actions ce qui vous permets d'agir la ou d'autres réfléchirait trop. vous êtes un personnes d'action. votre étourderie peu signifier que votre esprit fonctionne trop rapidement ou que vous penser beaucoup de choses en même temps. ceci est un signe de grand potentiel. vous êtes un personne d'action et votre impulsion vous permez souvent de réaliser certaines choses que d'autres ne ferons pas. de plus vous êtes plutot doué pourréaliser les tâches quotidiennes. </t>
        </is>
      </c>
      <c r="G6" s="7" t="inlineStr">
        <is>
          <t xml:space="preserve">Votre manque de structure peut parfois vous mettre en une situation ou vous êtes vites déborder. Vous avez du mal a prévoir et visualiser les évènements à venir  ce qui peut qui vous handicaper sur certain types d'emploies. Vous pouvez passer pour quelqu'un d'étourdi et oublier parfois les choses, et même si elles sont  essentielles à la réalisations d'un projet. il vous arrive d'avoir du mal a organiser vos idées. vous avez du mal a planifier les choses sur le long terme et à prioriser ce les taches importantes et urgentes de celles qui ne le sont pas. il vous arrive d'être en retard et de ne pas respecter les délais. vous avez aussi du mal à vous former tout seul, vous trouvez cette exercice difficille et préferez être accompagnée dans les taches qui demande un expertise particulière.  vous avez du mal a vous fixer des objectifs logique à atteindre et de les mettre en relation avec des les besoins réèls que nécessite la réalisation de votre objectifs.  attention à la persevérence car dès que la difficulté est trop élevé vous pouvez vite abandonner votre objectif. </t>
        </is>
      </c>
      <c r="H6" s="7" t="n"/>
    </row>
    <row r="7" ht="409.6" customHeight="1">
      <c r="B7" s="7" t="inlineStr">
        <is>
          <t>Intelligence sociale</t>
        </is>
      </c>
      <c r="C7" s="7" t="inlineStr">
        <is>
          <t>Vous avez une capacité a comprendre les comportements, pensée  des autres personnes.  Vous avez la capacité d'intégrer facilement des cercles sociaux différents des votres. Vous savez établir des relations harmonieuses avec les autres, et vous aimez réunir les gens. D'ailleurs vous aimez rencontrer des gens et en apprendre plus sur leur culture. vous savez créer et entretenir un réseau. vous avez donc un aisance relationelle.vous êtes quelqu'un de respectueux envers les autres car vous en cherchez pas à juger les autres mais plutot à essayer de les comprendre. d'ailleur vous y arriver plutot bien. vous avez aussi un capacité sous jacente celle de désamorcer les confilts entre un ou plusieur individus  car vous comprennez d'ou  peut venir la source de conflit. vous pouvez aussi être diplomate et savoir quoi dire et ne pas dire au bon moment. vous êtes aussi humble car sans cette capacité vous ne pourriez pas pouvoir ecouteret observer le point de vue les autres correctement.</t>
        </is>
      </c>
      <c r="D7" s="7" t="inlineStr">
        <is>
          <t>vous avez tendances à faire confiance trop rapidement aux autres, mais aussi à voir seulement le bien qu'il y a dans les personnes que vous rencontrer. Ce qui peut se retourner contre vous. De plus votre identité adaptable peut vraiment se modifier en fonction des rencontres, ce qui  peut diminuer votre propre identité au dépend des autres. votre ouverture sociale d'esprit peut vous rendre moins critique sur des situation discutable en temps normals si cela implique un contact social.  cette capacité peut aussi vous rendre manipulateur à certains moment surtout quand il s'agit d'obtenir quelque chose.</t>
        </is>
      </c>
      <c r="E7" s="7" t="inlineStr">
        <is>
          <t xml:space="preserve">Commercial, médiateur, psychologue, diplomate, auxiliaire de vie, chargé d'insertion sociale, guide touristique, steward , hôtesse de l'air, maitre de l'hotel, instructeur ou moniteur de plongé, animateur, explorateur, archéologue, journaliste, bloggeur, agent de voyage. agent immobilier, directeur marketing, directeur des ressources humaines, gestionnaire en patrimoine, agent sportif, directeur marketing, enseignant, formateur en entreprises, infirmier(ière), aides a domiciles, </t>
        </is>
      </c>
      <c r="F7" s="7" t="inlineStr">
        <is>
          <t>Vous avez tendance à ne pas vouloir changer de groupe d'amis ce qui vous rends plutôt fidèle avec vos proches. Vous préferez avoir un petit groupe d'amis en qui vous avez confiance que d'avoir une multitude de relations. Vous n'avez aucune difficulté à travailler seul quand il le faut ce qui peut avoir pour conséquences de vous rendre très autonome. vous avez une identité forte et très marqué vous êtes donc moins manipulable que les autres. vous êtes dynamisés en passant des moments tranquilles seuls ou en petit groupe. vous avez tendance à être plus réservés et réfléchis.</t>
        </is>
      </c>
      <c r="G7" s="7" t="inlineStr">
        <is>
          <t>vous pouvez paraître froid dans vos rapport avec les autres, même avec les membres de votre famille. Vous avez du mal à nouer des relations avec les gens même si vous le souhaitez. Il arrive que vous soyez parfois maladroit dans votre approche car vous ne comprenez pas vraiment ce que les gens veulent ou attendent de vous. vous avez donc très peu d'aptitudes sociales. c'est a dire que  vous n'essayer ou n'arriver pas à comprendre ce que les gens pensent et veulent. vous ne tentez pas non plus de lé découvrir ou du moins quand vous essayer vous viser à coté. vous pouvez parfois manquez d'humilité ce qui vous empèche de vous placer à niveau égale des autres et de les comprendre et de les ecouter au mieux. Cela a pour conséquences de vous faire passer pour quelqu'un d'hautain. Ce qui indique que vous avez du mal à vous adapter à la personalité des autres et intégrer d'autres cercles sociaux que ce que vous connaissez déja. vous aimez rester dans votre coin, vous êtes donc plutot quelqu'un d'introvertie. dans le travail vous pouvez a voir du mal à travailler en équipe ou être un leader connecté.</t>
        </is>
      </c>
      <c r="H7" s="7" t="inlineStr">
        <is>
          <t>informaticien, ingénieur en informatique, ingénieur du son chercheur en laboratoires,    bibliothécaire, documentaliste, Chargé / Chargée des ressources documentaires, rédacteur, écrivain, gardien, veileur de nuit,  graphiste designer, transorteur routier, auditeur, comptable, contrôleur de gestion, mécanicien, grutier, entrepreneur, scénariste, géologue, polisseur, charpentier, artistes, ouvrier métallurgistes, berger, agent de chambre mortuaire, artisan, agent d'entretien, géomatitien</t>
        </is>
      </c>
    </row>
    <row r="8" ht="409.6" customHeight="1">
      <c r="B8" s="7" t="inlineStr">
        <is>
          <t>Intelligence émotionnelle</t>
        </is>
      </c>
      <c r="C8" s="7" t="inlineStr">
        <is>
          <t>Vous avez la capacité de comprendre, expliquer et gerer vos émotions et celles des autres. Vous êtes quelqu'un d'empathique qui se soucie sincèrement des autres. votre humilité vous permet de vous intérresser aux émotions des autres plus qu'aux votress. Les gens ont un facilité a se confier à vous et vous aimez être a l'écoute. On peut vous définir comme quelqu'un de sensible. vous êtes aussi quelqu'un de sociable et avez la capacité de d'intégrer différents cercle sociaux. vous souhaitez sincèrement découvrir les autres afin de vouloir echanger, apprendre et partager. Vous avez une certaines maitrise de vous ce qui vous permet de moins stresser dans certaines situations mais aussi d'avoir moins de saut d'humeur ( stress, colère, chagrin, fou rire sans controle, joie exagérée...etc). vous êtes aussi quelqu'un de très motivé quand un cause ou un projet réponds à vos valeurs. Vous avez aussi la possibilité de solutionner les conflits entre individus en identifier la source émotionnelle du conflit. vous ne voulez pas forcément les manipuler les autres mais vous pouvez les influencer. de plus les décision émotionnelle sont plus facile à prendre pour vous.</t>
        </is>
      </c>
      <c r="D8" s="7" t="inlineStr">
        <is>
          <t xml:space="preserve">Vous êtes parfois trop empathique. Vous souciez trop du bien être des autres peut vous engouffrer dans leur problèmes. faites donc attention au syndrome du sauveur. Beaucoup de vos décision sont pris avec le cœur, ce qui peut parfois vous empécher de prendre des décision logiques ou rationnelles. votre sensibilité est à la fois votre meilleur atout et votre plus grand point faible. vous êtes parfois trop sensible à ce que le gens peuvent penser de vous, ce qui peut rapidement vous faire complexé.  vous n'aimez pas spécialement les conflit surtout avec vos proches. ce qui signifie que vous préferez installez un climat sain et positif dans votre environnement. Même si vous ne souhaitez pas spécialement manipuler et influencer les autres vous avez la capacité de le faire, surtout les esprit faible. Selon les moment ceci est un avantage ou un inconvéniant.  </t>
        </is>
      </c>
      <c r="E8" s="7" t="inlineStr">
        <is>
          <t>Stewart, hôtesse de l'air, manager d'équipe, coach de vie,psychothérapeute, enseignant, vétérinaire, infirmier, vendeur, commerciale, puériculteur, pédiatre, accompagnateur educatif, aides a domiciles, assistant maternel, animateur socio-culturel, médiateur sociale, chargé d'instertion. conseiller d'orientation. gestionaire en patrimoine, agent sportif, coach sportif</t>
        </is>
      </c>
      <c r="F8" s="7" t="n"/>
      <c r="G8" s="7" t="inlineStr">
        <is>
          <t>Vous avez peu d'aptitude sociale ce qui vous empéche de facilement vous faire des amis ou d'intégrer d'autres groupe sociale que ceux dans lesquelles vous vous sentez  à l'aise.  vous pouvez parfois manquez de sensibilité  et d'emphatie par rapport à ce que peu resentir votre entourage.Votre flegme dans certains moment d'émotion peut vous faitre passer pour quelqu'un d'insensible et de méprisant. Vous apporter peu de confiance aux gens ce qui peut vous faire passer pour quelqu'un d'associal.vous avez parfois du mal a prendre en comptes les besoins de considérations des autres personnes. il vous arrive de ne pas être motiver a faire quoi que ce soit et vous demander pourquoi vous vous levez le matin.  vous n'avez pas beaucoup de maitrise de vous même c'est à dire que vous êtes sujet au saut d'humeur, vous vous énervez vite par exemple.  il vous arrive donc d'être impulsif vous avez du mal a écouter les avis divergeant du votre et vous etes alergiques au critiques. dans le travail vous pouvez a voir du mal à travailler en équipe ou être un leader connecté.</t>
        </is>
      </c>
      <c r="H8" s="7" t="n"/>
    </row>
    <row r="9" ht="409.6" customHeight="1">
      <c r="B9" s="7" t="inlineStr">
        <is>
          <t>Management et gestion d'équipe
https://www.cadremploi.fr/editorial/conseils/conseils-carriere/detail/article/tes-vous-un-mauvais-manager.html#ancre-2</t>
        </is>
      </c>
      <c r="C9" s="7" t="inlineStr">
        <is>
          <t xml:space="preserve">on peut vous définir comme quelqu'un de charismatique.vous aimez diriger et influencer les gens.  Vous savez communiquer vos idées et être compris par vos collaborateurs et camarades. Vous avez un capacité à réunir les individus, les motiver et les encourager. Vous aimez mettre en place des projets et les voir fonctionner. votres esprit d'initiative vous permet de tester la ou d'autres ne ferais que penser. Pour cela vous allez trouver et réunir les bons outils et les personnes pour que tout fonctionne. vous savez trancher et prendre les décisions même si celles-ci ne plaise pas, mais vous essayer toujour d'en expliquer les raisons. vous savez vous rendre disponible pour elever les autres et êtes à l'écoute des besoins. et vous prenez du plaisir à former les autre et les voir évoluer. vous essayer de solutionner les conflits entre lorsque vous en voyez un dans votre groupe. vous savez aussi vous adapter au imprévues. vous adorer l'effervécence que peut générer le travaille en équipe. </t>
        </is>
      </c>
      <c r="D9" s="7" t="inlineStr">
        <is>
          <t>vous pouvez avoir le syndrome du sauveur. C'est à dire que vous souhaitez systématiquement aider les autres, même ceux qui ne le mérite pas. Vous voulez même les élever au point de parfois trop vous donner pour les autres. Vous avez tendance à avoir un relation trop paternalistes avec les autres, en voulant leur donner trop de conseils par exemple et en les considérant parfois comme des gens proches aux risque de vous  exposer émotionnelement au trahison.</t>
        </is>
      </c>
      <c r="E9" s="7" t="inlineStr">
        <is>
          <t>Manager d'équipe, coach, gestionnaire de projet,  Consultant, entrepreneur, organisateur d'évènement, coach sportif, entraîneur,</t>
        </is>
      </c>
      <c r="F9" s="7" t="inlineStr">
        <is>
          <t xml:space="preserve">vous travaillez très bien seul. Vous avez un forte personnalité affirmée, ce qui vous rends moins influencable au avis des autres, vous ne souhaitez rien laisser au hasard dans les choses entreprises, et aimez controler tout ce qui se passe. votre esprit est donc en alerte de tous ce qui se passe.Vous savez imposer votre autorité aux autres et mettre en place des sanction quand il le faut. vous avez un facilité à donner des ordres ou d'autres auraient des réticences à prendre les reines. </t>
        </is>
      </c>
      <c r="G9" s="7" t="inlineStr">
        <is>
          <t>Vous avez du mal à diriger ou influencer les autres a vous suivre, même quand  il s'agit d'une bonne cause. De ce fait, vous avez tendance à remettre en question votre force mental et votre crédibilité.  cela implique que vous avez du mal à communiquer et transmettre vos idées correctement. Vous pouvez parfois considerez les autres comme des outils et oublier de considerer leur efforts même les plus grands, car vous vous concentrer surtout sur les résultats obtenus. Il vous est difficille de vouloir former les autres.vous aimez bien donnez des ordres mais pas forcément donner l'exemple.Vous pouvez parfois manquer de prise d'initiative. vous avez tendance à créer un climat trop compétitifs ce qui peut avoir pour effet de créer des conflits. vous même aussi tendance à faire favoritisme dans le cadre de la gestion d'équipe. vous avez aussi tedance à mal réagir à la pression. Vous pouvez aussi être  réticent au changement. vous pouvez parfois manquer de vision ce qui vous empeche de prendre de la hauteur sur certaines situation et prendre des décision cohérentes.  il vous arrive d'avoir du mal à pendre un décision difficille par peur qu'elle est des répercussions graves sur votre personnes.  vous avez donc du mal à trancher quand ça vous concerne. vous préferez donc tansmettre ce prise de décision à quelqu'un d'autres. vous pouvez aussi vous défausser en cas de problème et rejeter la faute sur les autres.  vous pouvez parfois vous montrer impulsifs dans vos réactions et manquer de respects à vos camarades et collaborateurs.</t>
        </is>
      </c>
      <c r="H9" s="7" t="n"/>
    </row>
    <row r="10" ht="409.6" customHeight="1">
      <c r="B10" s="7" t="inlineStr">
        <is>
          <t>Communication</t>
        </is>
      </c>
      <c r="C10" s="7" t="inlineStr">
        <is>
          <t>Vous avez la capacité de vous exprimer en public. vous êtes d'ailleurs audacieux et n'hésitez pas aborder les gens quand la situation l'exige. Lorsque vous parlez on vous comprend parfaitement et vous savez capter l'attention. vous tentez parfois d'apter votre discours dans le fond et la forme aux personnes qui vous écoute.Vous êtes plutôt quelqu'un d'extraverti, de conviviale et vous aimez allez vers les autres. vous avez la capacité de convraincre les autres et leur transmetter vos idées, mais aussi leur faire imaginer des concepts compliqués. vous avez de la prestance, lorsque vous entrer dans une salle ont vous remarque. Lorsque vous débattez vous êtes diplomate, vous essayer de persuader ou de prouver ce que vous avancer sans blesser. vous essayer d'avoir de l'humour pour mettre les gens à l'aise. vous savez aussi être à l'écoute des autres pour pouvoir mieux répondre.</t>
        </is>
      </c>
      <c r="D10" s="7" t="inlineStr">
        <is>
          <t>Vous manquer parfois de réserve à des moment ou il le faudrait. Votre énergie peut parfois fatigué ou effrayé certaines personnes, notamment les introvertis. Vous pouvez parfois passer pour quelqu'un de superficiel qui cherche à plaire à tout le monde même si ce n'est pas le cas. vous pouvez aussi avoir tendance a vous concetrer plus sur la forme que le fond dans vos propos ou communication, au point de sonner creux pour ceux qui observe et analyse attentivement. faites attention à votre exposition car à vouloir trop se motrer on s'expose au critiques acerbes de ceu qui observent.</t>
        </is>
      </c>
      <c r="E10" s="7" t="inlineStr">
        <is>
          <t xml:space="preserve">humoriste, acteur,  présentateur télé,  influenceur,  agent immobilier, agent sportif, commercial, gestionnaire de patrimoine, agent sportif, agent musical, artiste musical, coach sportif, entraîneur, chef d'équipe, politicien </t>
        </is>
      </c>
      <c r="F10" s="7" t="inlineStr">
        <is>
          <t>Vous êtes quelqu'un de discret et ne fais pas dans l'esbrouffe. Vous vous concentrer plus sur la fond que la forme.  Votre calme peut être apprécier. Vous avez tendance à être plus réservés et réfléchis. Vous êtes plus performant dans les environement calme et réservée. sont dynamisés en passant des moments tranquilles seuls ou en petit groupe.</t>
        </is>
      </c>
      <c r="G10" s="7" t="inlineStr">
        <is>
          <t>vous avez du mal à exprimez vos idées et à faire en sorte qu'elles soit comprises parfaitement.Il vous arrive par exemple d'avoir du mal à raconter des histoires et à susciter l'intérêt de vos interlocuteurs facilement. vous pouvez avoir peur de vous adresser à un publique et perdre vos moyens ce qui peut renforcer votre timidité. A cause de tout cela, vous pouvez parfois manquer de confiance. Vous n'êtes pas du genre à aller facilement vers les autres  et préférez rester en retrait lors de grand évènement.  ce manque d'extraversion peut vous empécher de rencontrer les bonnes personnes aux  bon moment, ou de saisir de bonne opportunités de rencontre.</t>
        </is>
      </c>
      <c r="H10" s="7" t="inlineStr">
        <is>
          <t>informaticien, ingénieur en informatique, ingénieur du son chercheur en laboratoires,   technicien en laboratoire, bibliothécaire, documentaliste, Chargé / Chargée des ressources documentaires, rédacteur, écrivain, gardien, veileur de nuit,  graphiste designer, transorteur routier, auditeur, comptable, contrôleur de gestion, mécanicien, grutier, entrepreneur, scénariste, géologue, polisseur, charpentier, artistes, ouvrier métallurgistes, berger, agent de chambre mortuaire, artisan, Orthodontiste, assistant administratif</t>
        </is>
      </c>
    </row>
    <row r="11" ht="409.6" customHeight="1">
      <c r="B11" s="7" t="inlineStr">
        <is>
          <t>Ethique</t>
        </is>
      </c>
      <c r="C11" s="7" t="inlineStr">
        <is>
          <t>Vous êtes le genre de personnes qui croient en des principes fort et aux valeurs d'honnêteté, d'intégrité, de loyauté, et d'équité. ce qui veut dire que vous susciter la confiance chez les autres. Vous meprisez l'injustice et les personne corrompu par le pouvoir. vous n'aimez pas prendre des décisions ou transgresser des régles qui vont à l'encontre de vos valeurs et croyances. vous avez tendances a ne pas vouloir tricher dans ce que vous entreprenez, préférant pedre dans l'honneur que de gagner des le déshonneur. si cela avantage le bien commun, vous êtes capable de prendre un décision qui vous handicaperait. vous changer très peu d'avis vous n'êtes pas versatile. lors que vous engager vous le faites vraiment et vous essayer toujours de tenir vos promesses.  les problème globaux vous intérresse, comme l'environnement, la gestion des ressources.</t>
        </is>
      </c>
      <c r="D11" s="7" t="inlineStr">
        <is>
          <t>il vous est parfois très difficile voir impossible de faire des compromis quand il vont à l'encontre de vos croyances et valeurs. Cela vous rend rigide dans vos relations avec les autres et peut vous faire perdre des opportunités.  Vous pouvez parfois vous mettre dans un état d'engagement trop fort, au point de défendre des causes perdu ou vous engager pour des amis ou connaissances qui n'en valent pas la peine. vous pouvez vous montrer rigides aux compromis qui ne sont pas complétement ethique ou qui ne respecte pas vos valeurs, votre sens de l'honneur, ou votre personalité. cela peut vous faire rater certaines oportunités.</t>
        </is>
      </c>
      <c r="E11" s="7" t="inlineStr">
        <is>
          <t>Défenseur des droit de l'homme, Responsable qualité.  Responsable sécurité, avocat, juges, procureur de la république, procureur, police des polices, Officier de gendarmerie, policier,  juges des affaires familliales,juges des enfants, animateur nature,
chargé de communication environnement,chef de projet innovation et transformation,
conseiller info-énergie,juriste en droit de l’environnement,chef de projet biodiversité, comissiaire de police, députés, entrepreneur sociale,ecotoxicologiques,chargé d'hygiène et de sécurité,responsable HSE ou QSE,technicien de trauitement de déchet, conseiller(ière) en environnement, inspecteur du travail,ecotoxicologue, directeur environnement,  géologue,biochimiste,ingénieur de dépolution,sismologues, technicien de mesure de la pollution, volcanologue, hydrobiologiste, coéanologue, responsable d'usine d'eau potable, chargé d’affaires en génie thermique et climatique,
chef de chantier en génie climatique et sanitaire,
chef de projet en énergies renouvelables,
ingénieur en énergies renouvelables,
ingénieur en génie thermique,
technicien thermicien,
technico-commercial thermicien,agent technique d’entretien des cours d’eau,
agent technique forestier,
chargé d’études en environnement, écologue,
élagueur,expert naturaliste,
garde du littoral,garde-chasse,
garde-pêche,garde-moniteur du parc national,ingénieur des travaux des eaux et forêt,
ingénieur du génie rural des eaux et forêts,technicien de rivière,ingénieur agronome,</t>
        </is>
      </c>
      <c r="F11" s="7" t="inlineStr">
        <is>
          <t xml:space="preserve">vous avez un facilité à mettre en place des compromis quand il le faut. vous n'êtes pas du genre vous emporter pas facilement  lorsque qu'un injustice arrive. Vous êtes plutôt flexible et adaptable en fonction des situations. </t>
        </is>
      </c>
      <c r="G11" s="7" t="inlineStr">
        <is>
          <t>vous pouvez parfois changer très facilement d'avis au point de transgresser facilement vos propres règles pour arriver a vos fins. Vous placez souvent votre intérêt avant l'intérêt général, ce qui peut vous créer des ennemis la ou vous n'en n'auriez normalement. On peut parfois vous considérez comme une personne avec peu principe et d'honneur même si ce n'es pas le cas, certaines personnes auront parfois du mal à vous faire confiance. vous pouvez transgresser vos propres principes pour arriver à vos fins. car ce qui compte surtout c'est le résultat. vous pouvez parfois manquez de loyauté dans vos relations. vous pouvez aussi</t>
        </is>
      </c>
      <c r="H11" s="7" t="inlineStr">
        <is>
          <t xml:space="preserve">Négociateur d'affaires, commercial en assurances, banquier, trader, conseiller financier,  politiciens, influenceur, conseiler en image, Avocat, diplomate,  </t>
        </is>
      </c>
    </row>
    <row r="12">
      <c r="C12" s="5" t="n"/>
      <c r="D12" s="5" t="n"/>
      <c r="E12" s="5" t="n"/>
      <c r="H12" s="5" t="n"/>
    </row>
  </sheetData>
  <mergeCells count="2">
    <mergeCell ref="F3:G3"/>
    <mergeCell ref="C3:D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E11"/>
  <sheetViews>
    <sheetView workbookViewId="0">
      <selection activeCell="D2" sqref="D2:E10"/>
    </sheetView>
  </sheetViews>
  <sheetFormatPr baseColWidth="10" defaultRowHeight="14.4"/>
  <cols>
    <col width="28.44140625" customWidth="1" min="2" max="2"/>
    <col width="58.33203125" customWidth="1" min="3" max="3"/>
    <col width="16.77734375" customWidth="1" min="4" max="4"/>
  </cols>
  <sheetData>
    <row r="2">
      <c r="B2" t="inlineStr">
        <is>
          <t>Catégories de soft skill</t>
        </is>
      </c>
      <c r="C2" t="inlineStr">
        <is>
          <t>Catégorie MBTI</t>
        </is>
      </c>
      <c r="D2" t="inlineStr">
        <is>
          <t>Lettres MBTI</t>
        </is>
      </c>
      <c r="E2" t="inlineStr">
        <is>
          <t>Réponse</t>
        </is>
      </c>
    </row>
    <row r="3">
      <c r="B3" t="inlineStr">
        <is>
          <t>Esprit critique</t>
        </is>
      </c>
      <c r="C3" s="11" t="inlineStr">
        <is>
          <t>Energie (E-extraverti ou I-Introverti)</t>
        </is>
      </c>
      <c r="D3" t="inlineStr">
        <is>
          <t>E</t>
        </is>
      </c>
      <c r="E3" t="inlineStr">
        <is>
          <t>A</t>
        </is>
      </c>
    </row>
    <row r="4">
      <c r="B4" t="inlineStr">
        <is>
          <t>Organisation</t>
        </is>
      </c>
      <c r="C4" s="11" t="inlineStr">
        <is>
          <t>Recueil d'information ou perception (S-sensation ou N-intuition)</t>
        </is>
      </c>
      <c r="D4" t="inlineStr">
        <is>
          <t>I</t>
        </is>
      </c>
      <c r="E4" t="inlineStr">
        <is>
          <t>B</t>
        </is>
      </c>
    </row>
    <row r="5">
      <c r="B5" t="inlineStr">
        <is>
          <t>Intelligence sociale</t>
        </is>
      </c>
      <c r="C5" s="11" t="inlineStr">
        <is>
          <t>Prise de décision (T-pensée ou F-sentiment)</t>
        </is>
      </c>
      <c r="D5" t="inlineStr">
        <is>
          <t>S</t>
        </is>
      </c>
      <c r="E5" t="inlineStr">
        <is>
          <t>C</t>
        </is>
      </c>
    </row>
    <row r="6">
      <c r="B6" t="inlineStr">
        <is>
          <t>Intelligence émotionnelle</t>
        </is>
      </c>
      <c r="C6" s="11" t="inlineStr">
        <is>
          <t>Mode d'action ou style de vie (J-Organisation ou P-perception)</t>
        </is>
      </c>
      <c r="D6" t="inlineStr">
        <is>
          <t>N</t>
        </is>
      </c>
      <c r="E6" t="inlineStr">
        <is>
          <t>D</t>
        </is>
      </c>
    </row>
    <row r="7">
      <c r="B7" t="inlineStr">
        <is>
          <t>Management et gestion d'équipe</t>
        </is>
      </c>
      <c r="D7" t="inlineStr">
        <is>
          <t>T</t>
        </is>
      </c>
    </row>
    <row r="8">
      <c r="B8" t="inlineStr">
        <is>
          <t>Management de projet</t>
        </is>
      </c>
      <c r="D8" t="inlineStr">
        <is>
          <t>F</t>
        </is>
      </c>
    </row>
    <row r="9">
      <c r="B9" t="inlineStr">
        <is>
          <t>Communication</t>
        </is>
      </c>
      <c r="D9" t="inlineStr">
        <is>
          <t>J</t>
        </is>
      </c>
    </row>
    <row r="10">
      <c r="B10" t="inlineStr">
        <is>
          <t>Etat d'esprit et attitude</t>
        </is>
      </c>
      <c r="D10" t="inlineStr">
        <is>
          <t>P</t>
        </is>
      </c>
    </row>
    <row r="11">
      <c r="B11" t="inlineStr">
        <is>
          <t>Ethique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2:BV20"/>
  <sheetViews>
    <sheetView workbookViewId="0">
      <selection activeCell="A3" sqref="A3"/>
    </sheetView>
  </sheetViews>
  <sheetFormatPr baseColWidth="10" defaultRowHeight="14.4"/>
  <sheetData>
    <row r="2" ht="43.2" customHeight="1">
      <c r="B2" s="20" t="inlineStr">
        <is>
          <t>Catégorie</t>
        </is>
      </c>
      <c r="C2" s="1" t="inlineStr">
        <is>
          <t>Communication</t>
        </is>
      </c>
      <c r="D2" s="1" t="inlineStr">
        <is>
          <t>Communication</t>
        </is>
      </c>
      <c r="E2" s="1" t="inlineStr">
        <is>
          <t>Communication</t>
        </is>
      </c>
      <c r="F2" s="1" t="inlineStr">
        <is>
          <t>Communication</t>
        </is>
      </c>
      <c r="G2" s="1" t="inlineStr">
        <is>
          <t>Communication</t>
        </is>
      </c>
      <c r="H2" s="1" t="inlineStr">
        <is>
          <t>Communication</t>
        </is>
      </c>
      <c r="I2" s="1" t="inlineStr">
        <is>
          <t>Communication</t>
        </is>
      </c>
      <c r="J2" s="1" t="inlineStr">
        <is>
          <t>Communication</t>
        </is>
      </c>
      <c r="K2" s="1" t="inlineStr">
        <is>
          <t>Communication</t>
        </is>
      </c>
      <c r="L2" s="1" t="inlineStr">
        <is>
          <t>Esprit critique</t>
        </is>
      </c>
      <c r="M2" s="1" t="inlineStr">
        <is>
          <t>Esprit critique</t>
        </is>
      </c>
      <c r="N2" s="1" t="inlineStr">
        <is>
          <t>Esprit critique</t>
        </is>
      </c>
      <c r="O2" s="1" t="inlineStr">
        <is>
          <t>Esprit critique</t>
        </is>
      </c>
      <c r="P2" s="1" t="inlineStr">
        <is>
          <t>Esprit critique</t>
        </is>
      </c>
      <c r="Q2" s="1" t="inlineStr">
        <is>
          <t>Esprit critique</t>
        </is>
      </c>
      <c r="R2" s="1" t="inlineStr">
        <is>
          <t>Esprit critique</t>
        </is>
      </c>
      <c r="S2" s="1" t="inlineStr">
        <is>
          <t>Esprit critique</t>
        </is>
      </c>
      <c r="T2" s="1" t="inlineStr">
        <is>
          <t>Esprit critique</t>
        </is>
      </c>
      <c r="U2" s="1" t="inlineStr">
        <is>
          <t>Ethique</t>
        </is>
      </c>
      <c r="V2" s="1" t="inlineStr">
        <is>
          <t>Ethique</t>
        </is>
      </c>
      <c r="W2" s="1" t="inlineStr">
        <is>
          <t>Ethique</t>
        </is>
      </c>
      <c r="X2" s="1" t="inlineStr">
        <is>
          <t>Ethique</t>
        </is>
      </c>
      <c r="Y2" s="1" t="inlineStr">
        <is>
          <t>Ethique</t>
        </is>
      </c>
      <c r="Z2" s="1" t="inlineStr">
        <is>
          <t>Ethique</t>
        </is>
      </c>
      <c r="AA2" s="1" t="inlineStr">
        <is>
          <t>Ethique</t>
        </is>
      </c>
      <c r="AB2" s="1" t="inlineStr">
        <is>
          <t>Ethique</t>
        </is>
      </c>
      <c r="AC2" s="1" t="inlineStr">
        <is>
          <t>Ethique</t>
        </is>
      </c>
      <c r="AD2" s="1" t="inlineStr">
        <is>
          <t>Intelligence émotionnelle</t>
        </is>
      </c>
      <c r="AE2" s="1" t="inlineStr">
        <is>
          <t>Intelligence émotionnelle</t>
        </is>
      </c>
      <c r="AF2" s="1" t="inlineStr">
        <is>
          <t>Intelligence émotionnelle</t>
        </is>
      </c>
      <c r="AG2" s="1" t="inlineStr">
        <is>
          <t>Intelligence émotionnelle</t>
        </is>
      </c>
      <c r="AH2" s="1" t="inlineStr">
        <is>
          <t>Intelligence émotionnelle</t>
        </is>
      </c>
      <c r="AI2" s="1" t="inlineStr">
        <is>
          <t>Intelligence émotionnelle</t>
        </is>
      </c>
      <c r="AJ2" s="1" t="inlineStr">
        <is>
          <t>Intelligence émotionnelle</t>
        </is>
      </c>
      <c r="AK2" s="1" t="inlineStr">
        <is>
          <t>Intelligence émotionnelle</t>
        </is>
      </c>
      <c r="AL2" s="1" t="inlineStr">
        <is>
          <t>Intelligence émotionnelle</t>
        </is>
      </c>
      <c r="AM2" s="1" t="inlineStr">
        <is>
          <t>Intelligence sociale</t>
        </is>
      </c>
      <c r="AN2" s="1" t="inlineStr">
        <is>
          <t>Intelligence sociale</t>
        </is>
      </c>
      <c r="AO2" s="1" t="inlineStr">
        <is>
          <t>Intelligence sociale</t>
        </is>
      </c>
      <c r="AP2" s="1" t="inlineStr">
        <is>
          <t>Intelligence sociale</t>
        </is>
      </c>
      <c r="AQ2" s="1" t="inlineStr">
        <is>
          <t>Intelligence sociale</t>
        </is>
      </c>
      <c r="AR2" s="1" t="inlineStr">
        <is>
          <t>Intelligence sociale</t>
        </is>
      </c>
      <c r="AS2" s="1" t="inlineStr">
        <is>
          <t>Intelligence sociale</t>
        </is>
      </c>
      <c r="AT2" s="1" t="inlineStr">
        <is>
          <t>Intelligence sociale</t>
        </is>
      </c>
      <c r="AU2" s="1" t="inlineStr">
        <is>
          <t>Intelligence sociale</t>
        </is>
      </c>
      <c r="AV2" s="1" t="inlineStr">
        <is>
          <t>Management de projet</t>
        </is>
      </c>
      <c r="AW2" s="1" t="inlineStr">
        <is>
          <t>Management de projet</t>
        </is>
      </c>
      <c r="AX2" s="1" t="inlineStr">
        <is>
          <t>Management de projet</t>
        </is>
      </c>
      <c r="AY2" s="1" t="inlineStr">
        <is>
          <t>Management de projet</t>
        </is>
      </c>
      <c r="AZ2" s="1" t="inlineStr">
        <is>
          <t>Management de projet</t>
        </is>
      </c>
      <c r="BA2" s="1" t="inlineStr">
        <is>
          <t>Management de projet</t>
        </is>
      </c>
      <c r="BB2" s="1" t="inlineStr">
        <is>
          <t>Management de projet</t>
        </is>
      </c>
      <c r="BC2" s="1" t="inlineStr">
        <is>
          <t>Management de projet</t>
        </is>
      </c>
      <c r="BD2" s="1" t="inlineStr">
        <is>
          <t>Management de projet</t>
        </is>
      </c>
      <c r="BE2" s="1" t="inlineStr">
        <is>
          <t>Management et gestion d'équipe</t>
        </is>
      </c>
      <c r="BF2" s="1" t="inlineStr">
        <is>
          <t>Management et gestion d'équipe</t>
        </is>
      </c>
      <c r="BG2" s="1" t="inlineStr">
        <is>
          <t>Management et gestion d'équipe</t>
        </is>
      </c>
      <c r="BH2" s="1" t="inlineStr">
        <is>
          <t>Management et gestion d'équipe</t>
        </is>
      </c>
      <c r="BI2" s="1" t="inlineStr">
        <is>
          <t>Management et gestion d'équipe</t>
        </is>
      </c>
      <c r="BJ2" s="1" t="inlineStr">
        <is>
          <t>Management et gestion d'équipe</t>
        </is>
      </c>
      <c r="BK2" s="1" t="inlineStr">
        <is>
          <t>Management et gestion d'équipe</t>
        </is>
      </c>
      <c r="BL2" s="1" t="inlineStr">
        <is>
          <t>Management et gestion d'équipe</t>
        </is>
      </c>
      <c r="BM2" s="1" t="inlineStr">
        <is>
          <t>Management et gestion d'équipe</t>
        </is>
      </c>
      <c r="BN2" s="1" t="inlineStr">
        <is>
          <t>Organisation</t>
        </is>
      </c>
      <c r="BO2" s="1" t="inlineStr">
        <is>
          <t>Organisation</t>
        </is>
      </c>
      <c r="BP2" s="1" t="inlineStr">
        <is>
          <t>Organisation</t>
        </is>
      </c>
      <c r="BQ2" s="1" t="inlineStr">
        <is>
          <t>Organisation</t>
        </is>
      </c>
      <c r="BR2" s="1" t="inlineStr">
        <is>
          <t>Organisation</t>
        </is>
      </c>
      <c r="BS2" s="1" t="inlineStr">
        <is>
          <t>Organisation</t>
        </is>
      </c>
      <c r="BT2" s="1" t="inlineStr">
        <is>
          <t>Organisation</t>
        </is>
      </c>
      <c r="BU2" s="1" t="inlineStr">
        <is>
          <t>Organisation</t>
        </is>
      </c>
      <c r="BV2" s="1" t="inlineStr">
        <is>
          <t>Organisation</t>
        </is>
      </c>
    </row>
    <row r="3" ht="72" customHeight="1">
      <c r="B3" s="2" t="inlineStr">
        <is>
          <t>Soft skill</t>
        </is>
      </c>
      <c r="C3" s="1" t="inlineStr">
        <is>
          <t>Communication écrite</t>
        </is>
      </c>
      <c r="D3" s="1" t="inlineStr">
        <is>
          <t>L’audace (ou le culot)</t>
        </is>
      </c>
      <c r="E3" s="1" t="inlineStr">
        <is>
          <t>L’enthousiasme et le dynamisme</t>
        </is>
      </c>
      <c r="F3" s="1" t="inlineStr">
        <is>
          <t>La clarté de communication</t>
        </is>
      </c>
      <c r="G3" s="1" t="inlineStr">
        <is>
          <t>La diplomatie</t>
        </is>
      </c>
      <c r="H3" s="1" t="inlineStr">
        <is>
          <t>La négociation</t>
        </is>
      </c>
      <c r="I3" s="1" t="inlineStr">
        <is>
          <t>La posture ou la communication non verbale</t>
        </is>
      </c>
      <c r="J3" s="1" t="inlineStr">
        <is>
          <t>Prise de parole en public</t>
        </is>
      </c>
      <c r="K3" s="1" t="inlineStr">
        <is>
          <t>Rhétorique ou storytelling</t>
        </is>
      </c>
      <c r="L3" s="1" t="inlineStr">
        <is>
          <t>Actualisation des connaissances</t>
        </is>
      </c>
      <c r="M3" s="1" t="inlineStr">
        <is>
          <t>L’acuité et le discernement</t>
        </is>
      </c>
      <c r="N3" s="1" t="inlineStr">
        <is>
          <t>L’humour</t>
        </is>
      </c>
      <c r="O3" s="1" t="inlineStr">
        <is>
          <t>L’ouverture d'esprit</t>
        </is>
      </c>
      <c r="P3" s="1" t="inlineStr">
        <is>
          <t>La créativité ou l'imagination</t>
        </is>
      </c>
      <c r="Q3" s="1" t="inlineStr">
        <is>
          <t>La curiosité</t>
        </is>
      </c>
      <c r="R3" s="1" t="inlineStr">
        <is>
          <t>Pensée critique</t>
        </is>
      </c>
      <c r="S3" s="1" t="inlineStr">
        <is>
          <t>Résolution des problèmes</t>
        </is>
      </c>
      <c r="T3" s="1" t="inlineStr">
        <is>
          <t>Savoir rechercher pour résoudre un problème</t>
        </is>
      </c>
      <c r="U3" s="1" t="inlineStr">
        <is>
          <t>L’intégrité</t>
        </is>
      </c>
      <c r="V3" s="1" t="inlineStr">
        <is>
          <t>La conscience professionnelle</t>
        </is>
      </c>
      <c r="W3" s="1" t="inlineStr">
        <is>
          <t>La loyauté</t>
        </is>
      </c>
      <c r="X3" s="1" t="inlineStr">
        <is>
          <t>La respectabilité, la dignité, l'honneur</t>
        </is>
      </c>
      <c r="Y3" s="1" t="inlineStr">
        <is>
          <t>Le sens des responsabilité</t>
        </is>
      </c>
      <c r="Z3" s="1" t="inlineStr">
        <is>
          <t>Le sens du sacrifice</t>
        </is>
      </c>
      <c r="AA3" s="1" t="inlineStr">
        <is>
          <t>L'éco-responsabilité</t>
        </is>
      </c>
      <c r="AB3" s="1" t="inlineStr">
        <is>
          <t>L'engagement</t>
        </is>
      </c>
      <c r="AC3" s="1" t="inlineStr">
        <is>
          <t>Respect des autres (doublon tolérance)</t>
        </is>
      </c>
      <c r="AD3" s="1" t="inlineStr">
        <is>
          <t>Acceptation des retours et critiques</t>
        </is>
      </c>
      <c r="AE3" s="1" t="inlineStr">
        <is>
          <t>Introspection</t>
        </is>
      </c>
      <c r="AF3" s="1" t="inlineStr">
        <is>
          <t>L’empathie</t>
        </is>
      </c>
      <c r="AG3" s="1" t="inlineStr">
        <is>
          <t>La bienveillance</t>
        </is>
      </c>
      <c r="AH3" s="1" t="inlineStr">
        <is>
          <t>La confiance en soi</t>
        </is>
      </c>
      <c r="AI3" s="1" t="inlineStr">
        <is>
          <t>La gestion du stress</t>
        </is>
      </c>
      <c r="AJ3" s="1" t="inlineStr">
        <is>
          <t>La maitrise de soi</t>
        </is>
      </c>
      <c r="AK3" s="1" t="inlineStr">
        <is>
          <t>La reconnaissance ou considération</t>
        </is>
      </c>
      <c r="AL3" s="1" t="inlineStr">
        <is>
          <t>La sensibilité</t>
        </is>
      </c>
      <c r="AM3" s="1" t="inlineStr">
        <is>
          <t>Aisance relationnelle</t>
        </is>
      </c>
      <c r="AN3" s="1" t="inlineStr">
        <is>
          <t>Altruisme</t>
        </is>
      </c>
      <c r="AO3" s="1" t="inlineStr">
        <is>
          <t>Esprit d'équipe</t>
        </is>
      </c>
      <c r="AP3" s="1" t="inlineStr">
        <is>
          <t>Intelligence culturelle</t>
        </is>
      </c>
      <c r="AQ3" s="1" t="inlineStr">
        <is>
          <t>L’interaction avec les autres</t>
        </is>
      </c>
      <c r="AR3" s="1" t="inlineStr">
        <is>
          <t>La coopération, la collaboration</t>
        </is>
      </c>
      <c r="AS3" s="1" t="inlineStr">
        <is>
          <t>La tolérance</t>
        </is>
      </c>
      <c r="AT3" s="1" t="inlineStr">
        <is>
          <t>Le networking</t>
        </is>
      </c>
      <c r="AU3" s="1" t="inlineStr">
        <is>
          <t>Sociabilité</t>
        </is>
      </c>
      <c r="AV3" s="1" t="inlineStr">
        <is>
          <t>L’Autonomie</t>
        </is>
      </c>
      <c r="AW3" s="1" t="inlineStr">
        <is>
          <t>La délégation de taches</t>
        </is>
      </c>
      <c r="AX3" s="1" t="inlineStr">
        <is>
          <t>La facilitation</t>
        </is>
      </c>
      <c r="AY3" s="1" t="inlineStr">
        <is>
          <t>La fixation d'objectifs</t>
        </is>
      </c>
      <c r="AZ3" s="1" t="inlineStr">
        <is>
          <t>La gestion des risques</t>
        </is>
      </c>
      <c r="BA3" s="1" t="inlineStr">
        <is>
          <t>La prise de décision</t>
        </is>
      </c>
      <c r="BB3" s="1" t="inlineStr">
        <is>
          <t>La supervision</t>
        </is>
      </c>
      <c r="BC3" s="1" t="inlineStr">
        <is>
          <t>La tolérance au changement</t>
        </is>
      </c>
      <c r="BD3" s="1" t="inlineStr">
        <is>
          <t>L'agilité cognitive</t>
        </is>
      </c>
      <c r="BE3" s="1" t="inlineStr">
        <is>
          <t>Equité</t>
        </is>
      </c>
      <c r="BF3" s="1" t="inlineStr">
        <is>
          <t>Gérer et résoudre les conflits</t>
        </is>
      </c>
      <c r="BG3" s="1" t="inlineStr">
        <is>
          <t>Gérer les équipes à distances</t>
        </is>
      </c>
      <c r="BH3" s="1" t="inlineStr">
        <is>
          <t>Inclusivité</t>
        </is>
      </c>
      <c r="BI3" s="1" t="inlineStr">
        <is>
          <t>L’esprit d’initiative</t>
        </is>
      </c>
      <c r="BJ3" s="1" t="inlineStr">
        <is>
          <t>La valorisation ou l'encouragement</t>
        </is>
      </c>
      <c r="BK3" s="1" t="inlineStr">
        <is>
          <t>Le charisme</t>
        </is>
      </c>
      <c r="BL3" s="1" t="inlineStr">
        <is>
          <t>Le coaching des autres</t>
        </is>
      </c>
      <c r="BM3" s="1" t="inlineStr">
        <is>
          <t>Leadership</t>
        </is>
      </c>
      <c r="BN3" s="1" t="inlineStr">
        <is>
          <t>L’auto-formation</t>
        </is>
      </c>
      <c r="BO3" s="1" t="inlineStr">
        <is>
          <t>La concentration</t>
        </is>
      </c>
      <c r="BP3" s="1" t="inlineStr">
        <is>
          <t>La gestion des ressources</t>
        </is>
      </c>
      <c r="BQ3" s="1" t="inlineStr">
        <is>
          <t>La gestion du temps</t>
        </is>
      </c>
      <c r="BR3" s="1" t="inlineStr">
        <is>
          <t>La hiérarchisation et la priorisation</t>
        </is>
      </c>
      <c r="BS3" s="1" t="inlineStr">
        <is>
          <t>La planification</t>
        </is>
      </c>
      <c r="BT3" s="1" t="inlineStr">
        <is>
          <t>La recherche d'efficacité</t>
        </is>
      </c>
      <c r="BU3" s="1" t="inlineStr">
        <is>
          <t>La visualisation</t>
        </is>
      </c>
      <c r="BV3" s="1" t="inlineStr">
        <is>
          <t>Le respect des délais</t>
        </is>
      </c>
    </row>
    <row r="4" ht="100.8" customHeight="1">
      <c r="B4" s="20" t="inlineStr">
        <is>
          <t>Classe MBTI</t>
        </is>
      </c>
      <c r="C4" s="1" t="inlineStr">
        <is>
          <t>Energie (E-extraverti ou I-Introverti)</t>
        </is>
      </c>
      <c r="D4" s="1" t="inlineStr">
        <is>
          <t>Mode d'action ou style de vie (J-Organisation ou P-perception)</t>
        </is>
      </c>
      <c r="E4" s="1" t="inlineStr">
        <is>
          <t>Energie (E-extraverti ou I-Introverti)</t>
        </is>
      </c>
      <c r="F4" s="1" t="inlineStr">
        <is>
          <t>Energie (E-extraverti ou I-Introverti)</t>
        </is>
      </c>
      <c r="G4" s="1" t="inlineStr">
        <is>
          <t>Prise de décision (T-pensée ou F-sentiment)</t>
        </is>
      </c>
      <c r="H4" s="1" t="inlineStr">
        <is>
          <t>Energie (E-extraverti ou I-Introverti)</t>
        </is>
      </c>
      <c r="I4" s="1" t="inlineStr">
        <is>
          <t>Energie (E-extraverti ou I-Introverti)</t>
        </is>
      </c>
      <c r="J4" s="1" t="inlineStr">
        <is>
          <t>Energie (E-extraverti ou I-Introverti)</t>
        </is>
      </c>
      <c r="K4" s="1" t="inlineStr">
        <is>
          <t>Energie (E-extraverti ou I-Introverti)</t>
        </is>
      </c>
      <c r="L4" s="1" t="inlineStr">
        <is>
          <t>Recueil d'information ou perception (S-sensation ou N-intuition)</t>
        </is>
      </c>
      <c r="M4" s="1" t="inlineStr">
        <is>
          <t>Recueil d'information ou perception (S-sensation ou N-intuition)</t>
        </is>
      </c>
      <c r="N4" s="1" t="inlineStr">
        <is>
          <t>Recueil d'information ou perception (S-sensation ou N-intuition)</t>
        </is>
      </c>
      <c r="O4" s="1" t="inlineStr">
        <is>
          <t>Mode d'action ou style de vie (J-Organisation ou P-perception)</t>
        </is>
      </c>
      <c r="P4" s="1" t="inlineStr">
        <is>
          <t>Recueil d'information ou perception (S-sensation ou N-intuition)</t>
        </is>
      </c>
      <c r="Q4" s="1" t="inlineStr">
        <is>
          <t>Recueil d'information ou perception (S-sensation ou N-intuition)</t>
        </is>
      </c>
      <c r="R4" s="1" t="inlineStr">
        <is>
          <t>Recueil d'information ou perception (S-sensation ou N-intuition)</t>
        </is>
      </c>
      <c r="S4" s="1" t="inlineStr">
        <is>
          <t>Prise de décision (T-pensée ou F-sentiment)</t>
        </is>
      </c>
      <c r="T4" s="1" t="inlineStr">
        <is>
          <t>Recueil d'information ou perception (S-sensation ou N-intuition)</t>
        </is>
      </c>
      <c r="U4" s="1" t="inlineStr">
        <is>
          <t>Prise de décision (T-pensée ou F-sentiment)</t>
        </is>
      </c>
      <c r="V4" s="1" t="inlineStr">
        <is>
          <t>Prise de décision (T-pensée ou F-sentiment)</t>
        </is>
      </c>
      <c r="W4" s="1" t="inlineStr">
        <is>
          <t>Prise de décision (T-pensée ou F-sentiment)</t>
        </is>
      </c>
      <c r="X4" s="1" t="inlineStr">
        <is>
          <t>Prise de décision (T-pensée ou F-sentiment)</t>
        </is>
      </c>
      <c r="Y4" s="1" t="inlineStr">
        <is>
          <t>Prise de décision (T-pensée ou F-sentiment)</t>
        </is>
      </c>
      <c r="Z4" s="1" t="inlineStr">
        <is>
          <t>Prise de décision (T-pensée ou F-sentiment)</t>
        </is>
      </c>
      <c r="AA4" s="1" t="inlineStr">
        <is>
          <t>Prise de décision (T-pensée ou F-sentiment)</t>
        </is>
      </c>
      <c r="AB4" s="1" t="inlineStr">
        <is>
          <t>Prise de décision (T-pensée ou F-sentiment)</t>
        </is>
      </c>
      <c r="AC4" s="1" t="inlineStr">
        <is>
          <t>Prise de décision (T-pensée ou F-sentiment)</t>
        </is>
      </c>
      <c r="AD4" s="1" t="inlineStr">
        <is>
          <t>Prise de décision (T-pensée ou F-sentiment)</t>
        </is>
      </c>
      <c r="AE4" s="1" t="inlineStr">
        <is>
          <t>Prise de décision (T-pensée ou F-sentiment)</t>
        </is>
      </c>
      <c r="AF4" s="1" t="inlineStr">
        <is>
          <t>Energie (E-extraverti ou I-Introverti)</t>
        </is>
      </c>
      <c r="AG4" s="1" t="inlineStr">
        <is>
          <t>Prise de décision (T-pensée ou F-sentiment)</t>
        </is>
      </c>
      <c r="AH4" s="1" t="inlineStr">
        <is>
          <t>Energie (E-extraverti ou I-Introverti)</t>
        </is>
      </c>
      <c r="AI4" s="1" t="inlineStr">
        <is>
          <t>Mode d'action ou style de vie (J-Organisation ou P-perception)</t>
        </is>
      </c>
      <c r="AJ4" s="1" t="inlineStr">
        <is>
          <t>Prise de décision (T-pensée ou F-sentiment)</t>
        </is>
      </c>
      <c r="AK4" s="1" t="inlineStr">
        <is>
          <t>Prise de décision (T-pensée ou F-sentiment)</t>
        </is>
      </c>
      <c r="AL4" s="1" t="inlineStr">
        <is>
          <t>Prise de décision (T-pensée ou F-sentiment)</t>
        </is>
      </c>
      <c r="AM4" s="1" t="inlineStr">
        <is>
          <t>Energie (E-extraverti ou I-Introverti)</t>
        </is>
      </c>
      <c r="AN4" s="1" t="inlineStr">
        <is>
          <t>Energie (E-extraverti ou I-Introverti)</t>
        </is>
      </c>
      <c r="AO4" s="1" t="inlineStr">
        <is>
          <t>Energie (E-extraverti ou I-Introverti)</t>
        </is>
      </c>
      <c r="AP4" s="1" t="inlineStr">
        <is>
          <t>Energie (E-extraverti ou I-Introverti)</t>
        </is>
      </c>
      <c r="AQ4" s="1" t="inlineStr">
        <is>
          <t>Energie (E-extraverti ou I-Introverti)</t>
        </is>
      </c>
      <c r="AR4" s="1" t="inlineStr">
        <is>
          <t>Energie (E-extraverti ou I-Introverti)</t>
        </is>
      </c>
      <c r="AS4" s="1" t="inlineStr">
        <is>
          <t>Mode d'action ou style de vie (J-Organisation ou P-perception)</t>
        </is>
      </c>
      <c r="AT4" s="1" t="inlineStr">
        <is>
          <t>Energie (E-extraverti ou I-Introverti)</t>
        </is>
      </c>
      <c r="AU4" s="1" t="inlineStr">
        <is>
          <t>Energie (E-extraverti ou I-Introverti)</t>
        </is>
      </c>
      <c r="AV4" s="1" t="inlineStr">
        <is>
          <t>Mode d'action ou style de vie (J-Organisation ou P-perception)</t>
        </is>
      </c>
      <c r="AW4" s="1" t="inlineStr">
        <is>
          <t>Prise de décision (T-pensée ou F-sentiment)</t>
        </is>
      </c>
      <c r="AX4" s="1" t="inlineStr">
        <is>
          <t>Prise de décision (T-pensée ou F-sentiment)</t>
        </is>
      </c>
      <c r="AY4" s="1" t="inlineStr">
        <is>
          <t>Prise de décision (T-pensée ou F-sentiment)</t>
        </is>
      </c>
      <c r="AZ4" s="1" t="inlineStr">
        <is>
          <t>Prise de décision (T-pensée ou F-sentiment)</t>
        </is>
      </c>
      <c r="BA4" s="1" t="inlineStr">
        <is>
          <t>Prise de décision (T-pensée ou F-sentiment)</t>
        </is>
      </c>
      <c r="BB4" s="1" t="inlineStr">
        <is>
          <t>Mode d'action ou style de vie (J-Organisation ou P-perception)</t>
        </is>
      </c>
      <c r="BC4" s="1" t="inlineStr">
        <is>
          <t>Mode d'action ou style de vie (J-Organisation ou P-perception)</t>
        </is>
      </c>
      <c r="BD4" s="1" t="inlineStr">
        <is>
          <t>Mode d'action ou style de vie (J-Organisation ou P-perception)</t>
        </is>
      </c>
      <c r="BE4" s="1" t="inlineStr">
        <is>
          <t>Prise de décision (T-pensée ou F-sentiment)</t>
        </is>
      </c>
      <c r="BF4" s="1" t="inlineStr">
        <is>
          <t>Prise de décision (T-pensée ou F-sentiment)</t>
        </is>
      </c>
      <c r="BG4" s="1" t="inlineStr">
        <is>
          <t>Energie (E-extraverti ou I-Introverti)</t>
        </is>
      </c>
      <c r="BH4" s="1" t="inlineStr">
        <is>
          <t>Energie (E-extraverti ou I-Introverti)</t>
        </is>
      </c>
      <c r="BI4" s="1" t="inlineStr">
        <is>
          <t>Mode d'action ou style de vie (J-Organisation ou P-perception)</t>
        </is>
      </c>
      <c r="BJ4" s="1" t="inlineStr">
        <is>
          <t>Prise de décision (T-pensée ou F-sentiment)</t>
        </is>
      </c>
      <c r="BK4" s="1" t="inlineStr">
        <is>
          <t>Energie (E-extraverti ou I-Introverti)</t>
        </is>
      </c>
      <c r="BL4" s="1" t="inlineStr">
        <is>
          <t>Energie (E-extraverti ou I-Introverti)</t>
        </is>
      </c>
      <c r="BM4" s="1" t="inlineStr">
        <is>
          <t>Mode d'action ou style de vie (J-Organisation ou P-perception)</t>
        </is>
      </c>
      <c r="BN4" s="1" t="inlineStr">
        <is>
          <t>Mode d'action ou style de vie (J-Organisation ou P-perception)</t>
        </is>
      </c>
      <c r="BO4" s="1" t="inlineStr">
        <is>
          <t>Mode d'action ou style de vie (J-Organisation ou P-perception)</t>
        </is>
      </c>
      <c r="BP4" s="1" t="inlineStr">
        <is>
          <t>Prise de décision (T-pensée ou F-sentiment)</t>
        </is>
      </c>
      <c r="BQ4" s="1" t="inlineStr">
        <is>
          <t>Mode d'action ou style de vie (J-Organisation ou P-perception)</t>
        </is>
      </c>
      <c r="BR4" s="1" t="inlineStr">
        <is>
          <t>Prise de décision (T-pensée ou F-sentiment)</t>
        </is>
      </c>
      <c r="BS4" s="1" t="inlineStr">
        <is>
          <t>Mode d'action ou style de vie (J-Organisation ou P-perception)</t>
        </is>
      </c>
      <c r="BT4" s="1" t="inlineStr">
        <is>
          <t>Mode d'action ou style de vie (J-Organisation ou P-perception)</t>
        </is>
      </c>
      <c r="BU4" s="1" t="inlineStr">
        <is>
          <t>Recueil d'information ou perception (S-sensation ou N-intuition)</t>
        </is>
      </c>
      <c r="BV4" s="1" t="inlineStr">
        <is>
          <t>Mode d'action ou style de vie (J-Organisation ou P-perception)</t>
        </is>
      </c>
    </row>
    <row r="5" ht="346.2" customHeight="1" thickBot="1">
      <c r="B5" s="35" t="inlineStr">
        <is>
          <t>Explication</t>
        </is>
      </c>
      <c r="C5" s="36" t="inlineStr">
        <is>
          <t>Capacité à être facilement lu et compris mais aussi de susciter l'intérêt lorsque l'on transmet un message par écrit.</t>
        </is>
      </c>
      <c r="D5" s="36" t="inlineStr">
        <is>
          <t>Capacité à mettre en place ou réaliser des actions qui semblent risquées, difficiles et/ou irréalisables.</t>
        </is>
      </c>
      <c r="E5" s="36" t="inlineStr">
        <is>
          <t>Aptitude à exprimer sa joie ouvertement sans réfréner son émotion.</t>
        </is>
      </c>
      <c r="F5" s="36" t="inlineStr">
        <is>
          <t>Capacité à exprimer clairement ses idées lorsque l’on s’adresse à un ou plusieurs individus.</t>
        </is>
      </c>
      <c r="G5" s="36" t="inlineStr">
        <is>
          <t>Qualité qui permet d'apprécier intuitivement ce qu'il convient de dire, de faire ou d'éviter dans les relations humaines.</t>
        </is>
      </c>
      <c r="H5" s="36" t="inlineStr">
        <is>
          <t>Capacité à trouver un accord avec un ou plusieurs partis.</t>
        </is>
      </c>
      <c r="I5" s="36" t="inlineStr">
        <is>
          <t>Capacité à communiquer avec son corps. Par les gestes, le regard, les déplacements, la position de son corps.</t>
        </is>
      </c>
      <c r="J5" s="36" t="inlineStr">
        <is>
          <t>Capacité à s'exprimer devant une foule, ou lors d'évènements.</t>
        </is>
      </c>
      <c r="K5" s="36" t="inlineStr">
        <is>
          <t>L’art de savoir raconter ou narrer une histoire.</t>
        </is>
      </c>
      <c r="L5" s="36" t="inlineStr">
        <is>
          <t>Capacité à renouveler les connaissances et les compétences acquises.</t>
        </is>
      </c>
      <c r="M5" s="36" t="inlineStr">
        <is>
          <t>Capacité de l'esprit à juger clairement et sainement des choses</t>
        </is>
      </c>
      <c r="N5" s="36" t="inlineStr">
        <is>
          <t>Forme d'esprit qui s'attache à souligner le caractère comique, ridicule, absurde ou insolite de certains aspects de la réalité</t>
        </is>
      </c>
      <c r="O5" s="36" t="inlineStr">
        <is>
          <t>Tolérer et manifester de l'intérêt, de la curiosité et de la compréhension pour les idées qui diffèrent en partie ou totalement des siennes.</t>
        </is>
      </c>
      <c r="P5" s="36" t="inlineStr">
        <is>
          <t>Faculté de former des images d'objets qui n'ont pas été perçus ou de créer de nouvelles combinaisons  d'images ou d'idées, de se représenter des situations possibles.</t>
        </is>
      </c>
      <c r="Q5" s="36" t="inlineStr">
        <is>
          <t>Désir de rechercher et trouver l’information dont on ne dispose pas, dans le but d’apprendre.</t>
        </is>
      </c>
      <c r="R5" s="36" t="inlineStr">
        <is>
          <t>Disposition intellectuelle qui permet de raisonner correctement, de tirer des conclusions qui ne soient pas prématurées, mais réfléchies et étayées par des arguments.Capacité à questionner et remettre en cause des préjugés et des opinions "toutes faites".</t>
        </is>
      </c>
      <c r="S5" s="36" t="inlineStr">
        <is>
          <t>Capacité à comprendre et résoudre les problèmes.</t>
        </is>
      </c>
      <c r="T5" s="36" t="inlineStr">
        <is>
          <t>Savoir mener des recherches, pour répondre à une question, pour résoudre un problème.</t>
        </is>
      </c>
      <c r="U5" s="36" t="inlineStr">
        <is>
          <t>Capacité à ne pas être corrompu ou influencé, à respecter les règles établis sans tricher. Être droit en toutes circonstances.</t>
        </is>
      </c>
      <c r="V5" s="36" t="inlineStr">
        <is>
          <t>Être soigneux et appliqué dans la réalisation d’une tâche ou d'un projet, d'un travail peu importe son état mental.</t>
        </is>
      </c>
      <c r="W5" s="36" t="inlineStr">
        <is>
          <t>Capacité à respecter les engagements fixés et être fidèle envers un organisme, un ou plusieurs individus, une loi, une doctrine, une croyance une religion…etc.</t>
        </is>
      </c>
      <c r="X5" s="36" t="inlineStr">
        <is>
          <t>Être honorable dans les actions entreprises. Susciter le respect.</t>
        </is>
      </c>
      <c r="Y5" s="36" t="inlineStr">
        <is>
          <t>Aptitude à s'assurer de la qualité des actions entreprises et en assumer les conséquences, qu'elles soient bonnes ou mauvaises.</t>
        </is>
      </c>
      <c r="Z5" s="36" t="inlineStr">
        <is>
          <t>Réfréner ses besoins personnels afin de favoriser la réussite du groupe</t>
        </is>
      </c>
      <c r="AA5" s="36" t="inlineStr">
        <is>
          <t>Respecter les règles de protection de l'environnement</t>
        </is>
      </c>
      <c r="AB5" s="36" t="inlineStr">
        <is>
          <t>Capacité de se lier par une promesse ou une convention à la réalisation (ou non réalisation) d'une action et de s'y tenir.</t>
        </is>
      </c>
      <c r="AC5" s="36" t="inlineStr">
        <is>
          <t>Avoir de la considération pour les idées, les opinions, les sentiments, les croyances, les coutumes d'un ou plusieurs individus sans émettre de jugement à leur encontre.</t>
        </is>
      </c>
      <c r="AD5" s="36" t="inlineStr">
        <is>
          <t>Capacité à recevoir des critiques constructives sans se vexer.</t>
        </is>
      </c>
      <c r="AE5" s="36" t="inlineStr">
        <is>
          <t>Aptitude à analyser ses propres émotions, ses aptitudes, ses faiblesses dans le but de se perfectionner.</t>
        </is>
      </c>
      <c r="AF5" s="36" t="inlineStr">
        <is>
          <t>Capacité à ressentir les émotions d’autres individus (joie, tristesse, honte, frustration, etc.).</t>
        </is>
      </c>
      <c r="AG5" s="36" t="inlineStr">
        <is>
          <t>Aptitude à se montrer attentif au bien-être et au bonheur des autres par le biais de conseils donnés ou d'actions menées en leur faveur.</t>
        </is>
      </c>
      <c r="AH5" s="36" t="inlineStr">
        <is>
          <t>Avoir toujours confiance en ses capacités ou ses actions.</t>
        </is>
      </c>
      <c r="AI5" s="36" t="inlineStr">
        <is>
          <t>Capacité à supporter la pression liée à la réalisation d’une ou plusieurs tâches sans paniquer (examens, projets, demandes hiérarchiques, présentations, etc.).</t>
        </is>
      </c>
      <c r="AJ5" s="36" t="inlineStr">
        <is>
          <t>Rester maître de ses émotions peu importe l'intensité émotionnelle de la situation.</t>
        </is>
      </c>
      <c r="AK5" s="36" t="inlineStr">
        <is>
          <t>Apprécier les idées, l'investissement, le travail d'autres individus et les féliciter quand les résultats sont positifs.</t>
        </is>
      </c>
      <c r="AL5" s="36" t="inlineStr">
        <is>
          <t>Aptitude à s'émouvoir, à éprouver des sentiments d'humanité, de compassion, de tendresse envers autrui, autre chose ou un évènement.</t>
        </is>
      </c>
      <c r="AM5" s="36" t="inlineStr">
        <is>
          <t>Capacité à nouer des relations et de les entretenir.</t>
        </is>
      </c>
      <c r="AN5" s="36" t="inlineStr">
        <is>
          <t>Capacité à se soucier du bien des autres et de s'y consacrer de façon désintéressée.</t>
        </is>
      </c>
      <c r="AO5" s="36" t="inlineStr">
        <is>
          <t>Aptitude à faire preuve d'altruisme et de solidarité avec les membres de son groupe.</t>
        </is>
      </c>
      <c r="AP5" s="36" t="inlineStr">
        <is>
          <t>Capacité de s'adapter à différents contextes ou groupes culturels.</t>
        </is>
      </c>
      <c r="AQ5" s="36" t="inlineStr">
        <is>
          <t>Capacité à échanger discuter et côtoyer d’autres individus.</t>
        </is>
      </c>
      <c r="AR5" s="36" t="inlineStr">
        <is>
          <t>Aptitude à travailler avec un ou plusieurs autres individus dans le but d'une réalisation commune.</t>
        </is>
      </c>
      <c r="AS5" s="36" t="inlineStr">
        <is>
          <t>Attitude qui consiste à admettre chez autrui une manière de penser ou d'agir différente de celle qu'on adopte soi-même</t>
        </is>
      </c>
      <c r="AT5" s="36" t="inlineStr">
        <is>
          <t>Capacité à nouer et maintenir des liens avec d'autres individus et de se créer un réseau sur le long terme.</t>
        </is>
      </c>
      <c r="AU5" s="36" t="inlineStr">
        <is>
          <t>Capacité à vivre en société ou avec un groupe d'individu. Recherche de compagnie.</t>
        </is>
      </c>
      <c r="AV5" s="36" t="inlineStr">
        <is>
          <t>Ne pas avoir besoin d’accompagnement lorsque l’on entreprend une action.</t>
        </is>
      </c>
      <c r="AW5" s="36" t="inlineStr">
        <is>
          <t>Capacité à déléguer et répartir les tâches.</t>
        </is>
      </c>
      <c r="AX5" s="36" t="inlineStr">
        <is>
          <t>Capacité à générer un cadre, des méthodes et des processus de travail favorisant l’émergence d’idées et l'atteinte d'objectifs.</t>
        </is>
      </c>
      <c r="AY5" s="36" t="inlineStr">
        <is>
          <t>Capacité à fixer des objectifs spécifiques, mesurables, atteignables, réalistes et temporels.</t>
        </is>
      </c>
      <c r="AZ5" s="36" t="inlineStr">
        <is>
          <t>Capacité à lister et évaluer les scénarios problématiques et trouver des solutions pouvant les résoudre.</t>
        </is>
      </c>
      <c r="BA5" s="36" t="inlineStr">
        <is>
          <t>Aptitude à effectuer un choix entre plusieurs modalités d'actions possibles lors de la confrontation à un problème.</t>
        </is>
      </c>
      <c r="BB5" s="36" t="inlineStr">
        <is>
          <t>Capacité à exercer un contrôle et à effectuer une vérification sur l'activité ou le travail d'une ou plusieurs personnes.</t>
        </is>
      </c>
      <c r="BC5" s="36" t="inlineStr">
        <is>
          <t>Capacité à accepter la rupture ou la modification de processus, d'une routine, d’un mode vie, d'une méthode de travail, d'un groupe social.</t>
        </is>
      </c>
      <c r="BD5" s="36" t="inlineStr">
        <is>
          <t>Aptitude à s'adapter facilement aux changements et à réagir aux problématiques qui ne répondent pas à notre mode de fonctionnement mental.</t>
        </is>
      </c>
      <c r="BE5" s="36" t="inlineStr">
        <is>
          <t>Capacité à traiter les situations et les individus de manière juste et impartiale, sans parti pris.</t>
        </is>
      </c>
      <c r="BF5" s="36" t="inlineStr">
        <is>
          <t>Capacité à être médiateur et trouver les solutions aux situations de tension entre deux ou plusieurs individus.</t>
        </is>
      </c>
      <c r="BG5" s="36" t="inlineStr">
        <is>
          <t>Capacité à diriger d'autres individus sans être physiquement présent.</t>
        </is>
      </c>
      <c r="BH5" s="36" t="inlineStr">
        <is>
          <t>Aptitude à intégrer facilement un individu à un groupe. C'est différent de l'exclusion.</t>
        </is>
      </c>
      <c r="BI5" s="36" t="inlineStr">
        <is>
          <t>Capacité à entreprendre des actions sans que l'on y soit poussé.</t>
        </is>
      </c>
      <c r="BJ5" s="36" t="inlineStr">
        <is>
          <t>Mettre en avant les qualités ou les résultats d'un ou plusieurs individus pour renforcer leur confiance en soi et leur permettre de faire mieux.</t>
        </is>
      </c>
      <c r="BK5" s="36" t="inlineStr">
        <is>
          <t>Capacité à plaire et à s’imposer naturellement. Sans forcer les autres à nous apprécier.</t>
        </is>
      </c>
      <c r="BL5" s="36" t="inlineStr">
        <is>
          <t>Capacité à stimuler l'intérêt des autres sur un sujet, une mission, un travail et faire ressortir le meilleur d'eux même.</t>
        </is>
      </c>
      <c r="BM5" s="36" t="inlineStr">
        <is>
          <t>Capacité à réunir et diriger plusieurs individus sans utiliser la force, pour mener à bien un projet ou une action.</t>
        </is>
      </c>
      <c r="BN5" s="36" t="inlineStr">
        <is>
          <t>Capacité à se former sans aide extérieure d’un mentor, professeur ou guide</t>
        </is>
      </c>
      <c r="BO5" s="36" t="inlineStr">
        <is>
          <t>Capacité à focaliser son esprit sur une tâche, ou un sujet particulier sans diverger.</t>
        </is>
      </c>
      <c r="BP5" s="36" t="inlineStr">
        <is>
          <t>Capacité à identifier et quantifier les ressources (humaines, matérielles, financières, etc.) nécessaires la réalisation d'un projet, d’une action, d’une entreprise.</t>
        </is>
      </c>
      <c r="BQ5" s="36" t="inlineStr">
        <is>
          <t>Capacité à organiser ce que l’on entreprend afin de respecter les délais accordés.</t>
        </is>
      </c>
      <c r="BR5" s="36" t="inlineStr">
        <is>
          <t>Capacité à prioriser les tâches selon leur importance et leur urgence</t>
        </is>
      </c>
      <c r="BS5" s="36" t="inlineStr">
        <is>
          <t>Capacité à organiser les actions et tâches selon un plan défini temporellement</t>
        </is>
      </c>
      <c r="BT5" s="36" t="inlineStr">
        <is>
          <t>Capacité à fournir un résultat, en fonction des délais et moyens accordés.</t>
        </is>
      </c>
      <c r="BU5" s="36" t="inlineStr">
        <is>
          <t>Capacité de se projeter mentalement dans une situation future.</t>
        </is>
      </c>
      <c r="BV5" s="36" t="inlineStr">
        <is>
          <t>Aptitude à arriver à l'heure et rendre les attendus au moment demandé</t>
        </is>
      </c>
    </row>
    <row r="6" ht="317.4" customHeight="1" thickBot="1">
      <c r="B6" s="39" t="inlineStr">
        <is>
          <t>Question</t>
        </is>
      </c>
      <c r="C6" s="42" t="inlineStr">
        <is>
          <t>Lorsque vous rédigez une note ou un écrit à destination d'autres individus :</t>
        </is>
      </c>
      <c r="D6" s="42" t="inlineStr">
        <is>
          <t>Lors d'une réunion professionnelle, on vous propose soudainement de présenter vos idées sur un projet complexe devant des plusieurs supérieurs. Vous n'avez pas préparé de présentation formelle. Comment réagissez-vous ?</t>
        </is>
      </c>
      <c r="E6" s="42" t="inlineStr">
        <is>
          <t>Lorsque vous êtes avec votre groupe d'amis, vous êtes :</t>
        </is>
      </c>
      <c r="F6" s="42" t="inlineStr">
        <is>
          <t>Lorsque vous parlez, devez-vous répéter régulièrement vos phrases pour être parfaitement compris ?</t>
        </is>
      </c>
      <c r="G6" s="42" t="inlineStr">
        <is>
          <t>Lorsqu'on vous demande de donner votre avis sur un sujet sensible, vous avez tendance à :</t>
        </is>
      </c>
      <c r="H6" s="42" t="inlineStr">
        <is>
          <t>Vous trouvez un objet que vous souhaitiez acheter depuis longtemps, simplement le prix est trop élevé par rapport à votre budget.</t>
        </is>
      </c>
      <c r="I6" s="42" t="inlineStr">
        <is>
          <t>Lorsque vous vous exprimez, vous avez tendance à :</t>
        </is>
      </c>
      <c r="J6" s="42" t="inlineStr">
        <is>
          <t>Lorsqu'on vous demande de vous présenter devant une foule de personnes, votre première pensée est :</t>
        </is>
      </c>
      <c r="K6" s="42" t="inlineStr">
        <is>
          <t>Lorsque vous racontez une histoire, un évènement ou le résumé d'un film :</t>
        </is>
      </c>
      <c r="L6" s="42" t="inlineStr">
        <is>
          <t>Lors d'une conversation avec des collègues, un nouveau logiciel révolutionnaire dans votre secteur est mentionné, mais vous ne le connaissez pas. Que faites-vous ensuite ?</t>
        </is>
      </c>
      <c r="M6" s="1" t="inlineStr">
        <is>
          <t>Un de vos amis de confiance partage une publication qui affirme que l'utilisation fréquente des téléphones mobiles peut causer de graves problèmes de santé. Quelle est votre réaction ?</t>
        </is>
      </c>
      <c r="N6" s="42" t="inlineStr">
        <is>
          <t>Êtes-vous le type de personnes à toujours trouver ce qu'il y a de drôle même dans les situations Malaisantes ?</t>
        </is>
      </c>
      <c r="O6" s="42" t="inlineStr">
        <is>
          <t>Une nouvelle personne intègre votre groupe de travail. Elle vous informe qu'une des méthodes que vous utilisez est totalement obsolète.</t>
        </is>
      </c>
      <c r="P6" s="42" t="inlineStr">
        <is>
          <t>On vous demande de créer une histoire :</t>
        </is>
      </c>
      <c r="Q6" s="42" t="inlineStr">
        <is>
          <t>Une de vos amis vous conseille une nouvelle série phénomène qui sort le mois prochain. Votre réaction :</t>
        </is>
      </c>
      <c r="R6" s="42" t="inlineStr">
        <is>
          <t>Vous devez partir en voyage dans un pays pour les vacances. Vous découvrez que le journal télévisé décrit ce pays comme dangereux.</t>
        </is>
      </c>
      <c r="S6" s="42" t="inlineStr">
        <is>
          <t>Lorsque vous vous retrouvez en face d'un problème difficile à résoudre :</t>
        </is>
      </c>
      <c r="T6" s="42" t="inlineStr">
        <is>
          <t>Vous devez assembler un meuble complexe chez vous. Cependant, vous vous rendez compte que vous avez perdu le mode d'emploi.</t>
        </is>
      </c>
      <c r="U6" s="42" t="inlineStr">
        <is>
          <t>Après avoir payé vos achats, vous remarquez que le caissier vous a rendu trop de monnaie. Comment réagissez-vous ?</t>
        </is>
      </c>
      <c r="V6" s="42" t="inlineStr">
        <is>
          <t>Vous avez un travail de groupe important à finir pour le lendemain. Votre meilleur(e) ami(e) vous appelle, en vous expliquant qu'il/elle part 6 mois au Mexique et qu'il/elle aimerait passer sa dernière soirée avec vous.</t>
        </is>
      </c>
      <c r="W6" s="42" t="inlineStr">
        <is>
          <t>Vous devez réaliser un travail de groupe entre amis. Cependant, le groupe de travail sympathique dans lequel vous êtes ne fonctionne pas du tout. Votre réaction :</t>
        </is>
      </c>
      <c r="X6" s="42" t="inlineStr">
        <is>
          <t>Vous jouez à un jeu vidéo extrêmement difficile et vous trouvez un cheat code qui vous permet de le terminer beaucoup plus facilement, sans que personne le sache.</t>
        </is>
      </c>
      <c r="Y6" s="42" t="inlineStr">
        <is>
          <t>En jouant au foot près d'une maison vous brisez une fenêtre. Tous vos amis se mettent à courir, votre réaction :</t>
        </is>
      </c>
      <c r="Z6" s="42" t="inlineStr">
        <is>
          <t>Un génie vous propose la possibilité de réaliser un seul vœu parmi ces propositions. Lequel choisissez-vous ?</t>
        </is>
      </c>
      <c r="AA6" s="42" t="inlineStr">
        <is>
          <t>Vous avez la possibilité d'acheter une voiture, vous avez le choix entre plusieurs possibilités :</t>
        </is>
      </c>
      <c r="AB6" s="42" t="inlineStr">
        <is>
          <t>Seriez-vous capable de tenir une promesse faite à une amie, même si cette promesse pourrait vous faire du mal ?</t>
        </is>
      </c>
      <c r="AC6" s="42" t="inlineStr">
        <is>
          <t>Pourriez-vous prendre en considération une opinion qui bafoue vos principes, vos croyances et/ou votre culture ?</t>
        </is>
      </c>
      <c r="AD6" s="42" t="inlineStr">
        <is>
          <t>Vous avez mis 3 mois à réaliser un dossier complexe, vous le montrer à un inconnu qui juge les résultats déplorables.</t>
        </is>
      </c>
      <c r="AE6" s="42" t="inlineStr">
        <is>
          <t>Si on vous demande de citer vos qualités et vos défauts, y arrivez-vous facilement ?</t>
        </is>
      </c>
      <c r="AF6" s="42" t="inlineStr">
        <is>
          <t>Vous assistez à un spectacle, l'un des acteurs oublie son texte et ne sait plus quoi dire. C'est le silence</t>
        </is>
      </c>
      <c r="AG6" s="42" t="inlineStr">
        <is>
          <t>La veille d'un examen, vous tombez par hasard sur les réponses qui peuvent vous assurer la réussite aux examens :</t>
        </is>
      </c>
      <c r="AH6" s="42" t="inlineStr">
        <is>
          <t>Vous avez l'opportunité de diriger un projet important au travail. Cela implique de prendre des décisions clés et de gérer une équipe.</t>
        </is>
      </c>
      <c r="AI6" s="42" t="inlineStr">
        <is>
          <t>Une heure avant une présentation orale importante, votre ordinateur plante et vous perdez tous vos documents. Votre réaction :</t>
        </is>
      </c>
      <c r="AJ6" s="42" t="inlineStr">
        <is>
          <t>Une personne prend du plaisir à vous humilier public, comment réagissez-vous ?</t>
        </is>
      </c>
      <c r="AK6" s="42" t="inlineStr">
        <is>
          <t>Vous avez confié une tâche simple à l'un de vos collaborateurs. Il réussit avec brio. Il attend une réaction de votre part :</t>
        </is>
      </c>
      <c r="AL6" s="42" t="inlineStr">
        <is>
          <t>Vous venez d'apprendre que la femme d'un voisin, avec qui vous peu d'affinité, vient d'être hospitalisé dans un état grave, vous êtes du genre à :</t>
        </is>
      </c>
      <c r="AM6" s="42" t="inlineStr">
        <is>
          <t>Lorsque vous vous rendez dans un évènement, une soirée, vous êtes du genre à :</t>
        </is>
      </c>
      <c r="AN6" s="42" t="inlineStr">
        <is>
          <t>Vous vous rendez compte que vous êtes le seul à avoir bien noté les informations liées à un examen important.</t>
        </is>
      </c>
      <c r="AO6" s="42" t="inlineStr">
        <is>
          <t>Vous devez réaliser un travail, mais il sera pris en compte uniquement si vous le réalisez en groupe, votre réaction :</t>
        </is>
      </c>
      <c r="AP6" s="42" t="inlineStr">
        <is>
          <t>Si vous deviez aller dans un pays étranger en vacances, vous seriez :</t>
        </is>
      </c>
      <c r="AQ6" s="42" t="inlineStr">
        <is>
          <t>Avez-vous une facilité à interagir avec les gens que vous ne connaissez pas ?</t>
        </is>
      </c>
      <c r="AR6" s="42" t="inlineStr">
        <is>
          <t>Avez-vous une facilité à collaborer avec des personnes avec qui vous n'avez aucunes affinités ?</t>
        </is>
      </c>
      <c r="AS6" s="42" t="inlineStr">
        <is>
          <t>Quelqu'un affirme que vous êtes une mauvaise personne.</t>
        </is>
      </c>
      <c r="AT6" s="42" t="inlineStr">
        <is>
          <t>Aimez-vous nouer des liens avec les gens et entretenir les relations sur le long terme ?</t>
        </is>
      </c>
      <c r="AU6" s="42" t="inlineStr">
        <is>
          <t>Lorsque vous devez aller en soirée ou à un anniversaire vous êtes du genre à :</t>
        </is>
      </c>
      <c r="AV6" s="42" t="inlineStr">
        <is>
          <t>Lorsqu'un qu'on vous confie un projet ou une tâche sans instructions détaillées, comment procédez-vous ?</t>
        </is>
      </c>
      <c r="AW6" s="42" t="inlineStr">
        <is>
          <t>Avez-vous des difficultés à confier des tâches aux autres ?</t>
        </is>
      </c>
      <c r="AX6" s="42" t="inlineStr">
        <is>
          <t>Si vous deviez choisir un rôle dans un groupe de travail, ce serait :</t>
        </is>
      </c>
      <c r="AY6" s="42" t="inlineStr">
        <is>
          <t>Vous envisagez d'apprendre une nouvelle langue cette année. Comment prévoyez-vous de gérer ce projet ?</t>
        </is>
      </c>
      <c r="AZ6" s="42" t="inlineStr">
        <is>
          <t>Lorsque l'on met en place un projet, quel qu’il soit, que faut-il prendre en compte en premier lieu ?</t>
        </is>
      </c>
      <c r="BA6" s="42" t="inlineStr">
        <is>
          <t>Il reste 3 mois à vivre à une personne que vous aimez. Un médecin propose une solution qui pourrait prolonger sa vie de 10 ans en cas de réussite, ou le tuer en cas d'échec.</t>
        </is>
      </c>
      <c r="BB6" s="42" t="inlineStr">
        <is>
          <t>Lorsque vous effectuez un travail de groupe, ce que vous préférez c'est :</t>
        </is>
      </c>
      <c r="BC6" s="42" t="inlineStr">
        <is>
          <t>Vous avez un planning établi pour les deux prochains mois à venir. Du jour au lendemain, on vous le change. Votre réaction :</t>
        </is>
      </c>
      <c r="BD6" s="42" t="inlineStr">
        <is>
          <t>Imaginons que vous êtes en train de jouer à un jeu de société avec des amis. D'un coup, toutes les règles établies sont modifiées. Comment réagissez-vous ?</t>
        </is>
      </c>
      <c r="BE6" s="42" t="inlineStr">
        <is>
          <t xml:space="preserve">Comment pensez-vous que les richesses du monde devraient être réparties ?
</t>
        </is>
      </c>
      <c r="BF6" s="42" t="inlineStr">
        <is>
          <t>Lorsque deux personnes que vous connaissez sont en conflit, vous avez tendance à :</t>
        </is>
      </c>
      <c r="BG6" s="42" t="inlineStr">
        <is>
          <t>Vous devez gerer un travail de groupe important et votre équipe est dispersée dans différentes régions. Comment gérez-vous la situation ?</t>
        </is>
      </c>
      <c r="BH6" s="42" t="inlineStr">
        <is>
          <t>Vous êtes dans une soirée en appartement, vous remarquez qu'un(e) des invité(e)s est seul(e) dans son coin :</t>
        </is>
      </c>
      <c r="BI6" s="42" t="inlineStr">
        <is>
          <t>Vous êtes en face d'un travail qui nécessite une compétence que vous n'avez pas, allez-vous chercher à le réaliser quand même ?</t>
        </is>
      </c>
      <c r="BJ6" s="42" t="inlineStr">
        <is>
          <t>Quelqu’un de votre entourage veut s'aventurer dans un domaine dans lequel il a vraiment peu de chance de réussir.</t>
        </is>
      </c>
      <c r="BK6" s="42" t="inlineStr">
        <is>
          <t>Lorsque vous proposez des activités à des personnes que vous côtoyez, ils ont tendance :</t>
        </is>
      </c>
      <c r="BL6" s="42" t="inlineStr">
        <is>
          <t>Vous remarquez qu’un membre de votre groupe de travail a du mal à réaliser les travaux qui lui sont confiés.</t>
        </is>
      </c>
      <c r="BM6" s="42" t="inlineStr">
        <is>
          <t>Lorsque vous êtes dans un groupe de travail, vous êtes celui :</t>
        </is>
      </c>
      <c r="BN6" s="42" t="inlineStr">
        <is>
          <t>Tu entends parler d'un sujet intéressant qui n'est pas couvert par ton cursus scolaire ou par ta formation. Que fais-tu ?</t>
        </is>
      </c>
      <c r="BO6" s="42" t="inlineStr">
        <is>
          <t>Vous devez compléter une tâche longue et répétitive, et ennuyeuse. Comment maintenez-vous votre concentration tout au long de cette tâche ?</t>
        </is>
      </c>
      <c r="BP6" s="42" t="inlineStr">
        <is>
          <t>Lorsque l'on met en place un travail de groupe pour un projet, de quoi faut-il s'assurer en premier ?</t>
        </is>
      </c>
      <c r="BQ6" s="42" t="inlineStr">
        <is>
          <t>Vous devez rendre un travail dans plusieurs mois, vous préférez :</t>
        </is>
      </c>
      <c r="BR6" s="42" t="inlineStr">
        <is>
          <t>Comment faites-vous pour gérer différentes tâches lorsqu’il y en a vraiment beaucoup ?</t>
        </is>
      </c>
      <c r="BS6" s="42" t="inlineStr">
        <is>
          <t>Pour passer les meilleures vacances possibles, il vaut mieux :</t>
        </is>
      </c>
      <c r="BT6" s="42" t="inlineStr">
        <is>
          <t>Vous avez 5 jours pour réaliser un travail qui en prend normalement 9, votre réaction sera :</t>
        </is>
      </c>
      <c r="BU6" s="42" t="inlineStr">
        <is>
          <t>Lorsque tu te prépares pour un projet important ou un événement à venir, comment planifies-tu tes actions</t>
        </is>
      </c>
      <c r="BV6" s="43" t="inlineStr">
        <is>
          <t>Vous avez rendez-vous avec l'élu de votre cœur près d'un lac romantique, vous êtes plutôt du genre à :</t>
        </is>
      </c>
    </row>
    <row r="7" ht="231" customHeight="1" thickBot="1">
      <c r="B7" s="40" t="inlineStr">
        <is>
          <t xml:space="preserve">A </t>
        </is>
      </c>
      <c r="C7" s="1" t="inlineStr">
        <is>
          <t>Vous ne recevez jamais de retour négatif car vous êtes un expert de la communication écrite.</t>
        </is>
      </c>
      <c r="D7" s="1" t="inlineStr">
        <is>
          <t>J'accepte l'opportunité spontanément, en me fiant à ma connaissance du sujet pour guider ma présentation.</t>
        </is>
      </c>
      <c r="E7" s="1" t="inlineStr">
        <is>
          <t>Celui qui rigole tout le temps, qui cherche à mettre l'ambiance.</t>
        </is>
      </c>
      <c r="F7" s="1" t="inlineStr">
        <is>
          <t>Non, ça ne m'arrive jamais.</t>
        </is>
      </c>
      <c r="G7" s="1" t="inlineStr">
        <is>
          <t>Donner votre opinion sans mentir, même si votre avis peut blesser.</t>
        </is>
      </c>
      <c r="H7" s="1" t="inlineStr">
        <is>
          <t>Vous allez contacter le commerçant afin de trouver un accord gagnant-gagnant qui pourrait tous les deux vous satisfaire.</t>
        </is>
      </c>
      <c r="I7" s="1" t="inlineStr">
        <is>
          <t xml:space="preserve">Bouger beaucoup les mains comme si vous souhaitiez dessiner ce que vous expliquez, vous vous déplacez vers les gens, regardez les gens dans les yeux et vous souriez. </t>
        </is>
      </c>
      <c r="J7" s="1" t="inlineStr">
        <is>
          <t>Super vous allez faire le show, vous êtes pressé d'être sur la scène.</t>
        </is>
      </c>
      <c r="K7" s="1" t="inlineStr">
        <is>
          <t>Les personnes qui écoutent sont captivées et ont envie d'en savoir plus.</t>
        </is>
      </c>
      <c r="L7" s="10" t="inlineStr">
        <is>
          <t>Lire les articles et les ouvrages les plus récents sur le sujet et allez aux conférences sur le sujet.</t>
        </is>
      </c>
      <c r="M7" s="1" t="inlineStr">
        <is>
          <t>Vous vérifierez l'information en cherchant des sources vraisemblables et des études scientifiques sur le sujet.</t>
        </is>
      </c>
      <c r="N7" s="1" t="inlineStr">
        <is>
          <t>Non pas du tout, certaines situations n'ont rien de drôle.</t>
        </is>
      </c>
      <c r="O7" s="1" t="inlineStr">
        <is>
          <t>Vous l'envoyez balader. Elle devrait écouter au lieu de critiquer dès son arrivée.</t>
        </is>
      </c>
      <c r="P7" s="1" t="inlineStr">
        <is>
          <t>Vous n'arrivez pas à imaginer quoi que ce soit, et vous détestez cet exercice.</t>
        </is>
      </c>
      <c r="Q7" s="1" t="inlineStr">
        <is>
          <t>Vous allez sur les sites spécialisés pour savoir qui réalise la série, qui sont les acteurs, le nombre d'épisodes…etc.</t>
        </is>
      </c>
      <c r="R7" s="1" t="inlineStr">
        <is>
          <t>Je vais me renseigner auprès de personnes qui y sont déjà allées, afin d'avoir un avis précis de la situation.</t>
        </is>
      </c>
      <c r="S7" s="1" t="inlineStr">
        <is>
          <t>Vous cherchez toutes les sources du problème afin de savoir comment il s'est créé.</t>
        </is>
      </c>
      <c r="T7" s="10" t="inlineStr">
        <is>
          <t>Vous allez contacter le constructeur ou le magasin afin qu’il vous fournisse le mode d'emploi.</t>
        </is>
      </c>
      <c r="U7" s="1" t="inlineStr">
        <is>
          <t>Je signale l'erreur au caissier et lui rends l'argent en trop.</t>
        </is>
      </c>
      <c r="V7" s="1" t="inlineStr">
        <is>
          <t>Je termine quand même mon travail car il doit être fait pour demain. Je pleurerai après.</t>
        </is>
      </c>
      <c r="W7" s="1" t="inlineStr">
        <is>
          <t>Vous cherchez à intégrer un groupe plus travailleur et performant.</t>
        </is>
      </c>
      <c r="X7" s="1" t="inlineStr">
        <is>
          <t>Je l'utilise sans hésiter. Ce qui compte c'est de terminer le jeu.</t>
        </is>
      </c>
      <c r="Y7" s="1" t="inlineStr">
        <is>
          <t>Je m'enfuis aussi. Il serait bête de rester là et se faire attraper. Pas vu pas pris.</t>
        </is>
      </c>
      <c r="Z7" s="1" t="inlineStr">
        <is>
          <t>La paix dans le monde, donc plus de guerre.</t>
        </is>
      </c>
      <c r="AA7" s="1" t="inlineStr">
        <is>
          <t>Je préfère acheter un vélo car c'est moins polluant et plus amusant.</t>
        </is>
      </c>
      <c r="AB7" s="1" t="inlineStr">
        <is>
          <t>Non, c'est complètement idiot.</t>
        </is>
      </c>
      <c r="AC7" s="1" t="inlineStr">
        <is>
          <t>Oui, c'est tout à fait possible.</t>
        </is>
      </c>
      <c r="AD7" s="1" t="inlineStr">
        <is>
          <t>Vous vous empressez de noter ses commentaires afin de comprendre ce qui ne va pas.</t>
        </is>
      </c>
      <c r="AE7" s="1" t="inlineStr">
        <is>
          <t>Non, je n'y arrive jamais.</t>
        </is>
      </c>
      <c r="AF7" s="1" t="inlineStr">
        <is>
          <t>Vous vous sentez mal à l'aise et vous ressentez un sentiment de gêne.</t>
        </is>
      </c>
      <c r="AG7" s="1" t="inlineStr">
        <is>
          <t>Vous conservez cet avantage, afin d'avoir la meilleure note.</t>
        </is>
      </c>
      <c r="AH7" s="1" t="inlineStr">
        <is>
          <t>Je suis excité(e) par le défi et confiant(e) dans ma capacité à diriger le projet et à prendre les bonnes décisions.</t>
        </is>
      </c>
      <c r="AI7" s="1" t="inlineStr">
        <is>
          <t>Vous déprimez et perdez vos moyens car tout est fini. Vous avez les larmes aux yeux.</t>
        </is>
      </c>
      <c r="AJ7" s="1" t="inlineStr">
        <is>
          <t>Vous l'ignorez tout simplement. Il/elle ne mérite pas votre attention.</t>
        </is>
      </c>
      <c r="AK7" s="1" t="inlineStr">
        <is>
          <t>Vous ne comprenez pas ce qu'il attend. Il a juste fait ce qu'on lui a demandé de faire.</t>
        </is>
      </c>
      <c r="AL7" s="10" t="inlineStr">
        <is>
          <t>À ne rien ressentir, car vous n'êtes pas très proche de votre voisin.</t>
        </is>
      </c>
      <c r="AM7" s="1" t="inlineStr">
        <is>
          <t>Essayer de parler avec tout le monde.</t>
        </is>
      </c>
      <c r="AN7" s="1" t="inlineStr">
        <is>
          <t>Vous les partagez avec tous ceux qui doivent passer l'examen.</t>
        </is>
      </c>
      <c r="AO7" s="1" t="inlineStr">
        <is>
          <t>Vous êtes heureux de pouvoir travailler à plusieurs, c'est plus amusant.</t>
        </is>
      </c>
      <c r="AP7" s="1" t="inlineStr">
        <is>
          <t>La personne qui va essayer de parler la langue, apprendre les coutumes, aborder les styles vestimentaires.</t>
        </is>
      </c>
      <c r="AQ7" s="1" t="inlineStr">
        <is>
          <t>Oui, j'aime beaucoup échanger avec les gens.</t>
        </is>
      </c>
      <c r="AR7" s="1" t="inlineStr">
        <is>
          <t>Oui tant qu'il réalise leur tâche au mieux. Les sentiments polluent le travail.</t>
        </is>
      </c>
      <c r="AS7" s="1" t="inlineStr">
        <is>
          <t>Vous n'avez pas envie de l'écouter tant qu'il ne prouve pas ce qu'il dit.</t>
        </is>
      </c>
      <c r="AT7" s="1" t="inlineStr">
        <is>
          <t>Oui carrément j'adore ça, et je le fais très bien.</t>
        </is>
      </c>
      <c r="AU7" s="1" t="inlineStr">
        <is>
          <t>Aller parler à tout le monde car vous voulez absolument savoir qui est qui.</t>
        </is>
      </c>
      <c r="AV7" s="1" t="inlineStr">
        <is>
          <t>Je recherche des informations en ligne, comme des tutoriels ou des forums, le réaliser au mieux</t>
        </is>
      </c>
      <c r="AW7" s="1" t="inlineStr">
        <is>
          <t>Oui, parce qu’ils ne les font jamais comme je le souhaite.</t>
        </is>
      </c>
      <c r="AX7" s="10" t="inlineStr">
        <is>
          <t>Celui qui prend les décisions et donne les directives.</t>
        </is>
      </c>
      <c r="AY7" s="1" t="inlineStr">
        <is>
          <t>Je planifie un certain nombre d'heures par semaine à l'étude de la langue et je fixe des délais pour évaluer mes progrès, comme maîtriser les bases d'ici trois mois.</t>
        </is>
      </c>
      <c r="AZ7" s="1" t="inlineStr">
        <is>
          <t>Les divers évènements qui pourraient faire en sorte que le projet soit annulé.</t>
        </is>
      </c>
      <c r="BA7" s="1" t="inlineStr">
        <is>
          <t>Dans tous les cas il va mourir donc vous demandez qu’on mette en place la solution.</t>
        </is>
      </c>
      <c r="BB7" s="10" t="inlineStr">
        <is>
          <t>Etablir des outils qui permettront de contrôler l'avancée des travaux.</t>
        </is>
      </c>
      <c r="BC7" s="1" t="inlineStr">
        <is>
          <t>Vous vous énervez car vous n'aimez pas que les choses changent du jour au lendemain.</t>
        </is>
      </c>
      <c r="BD7" s="1" t="inlineStr">
        <is>
          <t>J'arrête de jouer car il n'est pas normal de changer les règles en cours de jeu.</t>
        </is>
      </c>
      <c r="BE7" s="1" t="inlineStr">
        <is>
          <t>Les pays riches devraient aider les pays pauvres.</t>
        </is>
      </c>
      <c r="BF7" s="1" t="inlineStr">
        <is>
          <t>Chercher quelle est l'origine du conflit  et trouver une solution.</t>
        </is>
      </c>
      <c r="BG7" s="1" t="inlineStr">
        <is>
          <t>Je préfère que tout le monde se déplace pour travailler dans un lieu centralisé, c'est plus pratique.</t>
        </is>
      </c>
      <c r="BH7" s="1" t="inlineStr">
        <is>
          <t>Vous allez le/la chercher pour l'intégrer à votre groupe de discussion.</t>
        </is>
      </c>
      <c r="BI7" s="1" t="inlineStr">
        <is>
          <t>Non, car le travail sera mal réalisé.</t>
        </is>
      </c>
      <c r="BJ7" s="1" t="inlineStr">
        <is>
          <t>Vous allez être réaliste et lui dire qu'il devrait abandonner.</t>
        </is>
      </c>
      <c r="BK7" s="1" t="inlineStr">
        <is>
          <t>À vous accompagner même si les activités ne leur plaisent pas.</t>
        </is>
      </c>
      <c r="BL7" s="1" t="inlineStr">
        <is>
          <t>Vous allez chercher à comprendre pourquoi et ensuite lui prodiguer des conseils.</t>
        </is>
      </c>
      <c r="BM7" s="1" t="inlineStr">
        <is>
          <t>qu'on laisse prendre la direction du groupe pour  montrer la direction à suivre.</t>
        </is>
      </c>
      <c r="BN7" s="1" t="inlineStr">
        <is>
          <t>Je recherche des ressources en ligne, comme des cours, des vidéos, ou des articles pour en apprendre davantage par moi-même.</t>
        </is>
      </c>
      <c r="BO7" s="1" t="inlineStr">
        <is>
          <t>Je me fixe des petits objectifs à atteindre et je prends de courtes pauses pour rester concentré et motivé.</t>
        </is>
      </c>
      <c r="BP7" s="1" t="inlineStr">
        <is>
          <t>Que nous disposons de tous les moyens nécessaires à la réalisation du projet.</t>
        </is>
      </c>
      <c r="BQ7" s="1" t="inlineStr">
        <is>
          <t>Vous organiser de façon à ce vous puissiez travailler chaque jour dessus. À un rythme régulier.</t>
        </is>
      </c>
      <c r="BR7" s="1" t="inlineStr">
        <is>
          <t>Vous classez les tâches par urgence et par importance et ensuite vous les traitez.</t>
        </is>
      </c>
      <c r="BS7" s="1" t="inlineStr">
        <is>
          <t>Planifier chaque étape de vos vacances avec les dates, les lieux, les prix.</t>
        </is>
      </c>
      <c r="BT7" s="1" t="inlineStr">
        <is>
          <t>Analyser le temps de réalisation de chaque tâche pour savoir laquelle prend le plus ou le moins de temps.</t>
        </is>
      </c>
      <c r="BU7" s="10" t="inlineStr">
        <is>
          <t>Je m'imagine toutes les étapes nécessaires pour atteindre mon objectif et je les visualise clairement dans ma tête.</t>
        </is>
      </c>
      <c r="BV7" s="44" t="inlineStr">
        <is>
          <t>Arriver en avance afin d'être sûr de ne pas le faire attendre.</t>
        </is>
      </c>
    </row>
    <row r="8" ht="274.2" customHeight="1" thickBot="1">
      <c r="B8" s="40" t="inlineStr">
        <is>
          <t>B</t>
        </is>
      </c>
      <c r="C8" s="1" t="inlineStr">
        <is>
          <t>Vous recevez rarement des retours d'incompréhension.</t>
        </is>
      </c>
      <c r="D8" s="1" t="inlineStr">
        <is>
          <t>Bien que surpris, je saisis l'occasion de partager mes idées, en improvisant une présentation concise basée sur mes connaissances actuelles.</t>
        </is>
      </c>
      <c r="E8" s="1" t="inlineStr">
        <is>
          <t>Celui qui motive et propose les sorties et les activités funs.</t>
        </is>
      </c>
      <c r="F8" s="1" t="inlineStr">
        <is>
          <t>Rarement, une fois comme ça.</t>
        </is>
      </c>
      <c r="G8" s="1" t="inlineStr">
        <is>
          <t>Expliquer quels sont les faits, sans chercher à transformer la réalité.</t>
        </is>
      </c>
      <c r="H8" s="1" t="inlineStr">
        <is>
          <t>Vous allez chercher tous les défauts possibles pour pouvoir diminuer la valeur et le prix de l'article auprès du commerçant.</t>
        </is>
      </c>
      <c r="I8" s="1" t="inlineStr">
        <is>
          <t>Utiliser vos mains et beaucoup d'expression faciales différentes.</t>
        </is>
      </c>
      <c r="J8" s="1" t="inlineStr">
        <is>
          <t>Ça ne me dérange pas, je vais le faire.</t>
        </is>
      </c>
      <c r="K8" s="1" t="inlineStr">
        <is>
          <t>Les auditeurs sont attentifs.</t>
        </is>
      </c>
      <c r="L8" s="10" t="inlineStr">
        <is>
          <t>je pose des questions à mes collègues pour en savoir plus, et j'envisage de m'informer davantage par la suite.</t>
        </is>
      </c>
      <c r="M8" s="1" t="inlineStr">
        <is>
          <t>Vous lui demandez où il a obtenu cette information.</t>
        </is>
      </c>
      <c r="N8" s="1" t="inlineStr">
        <is>
          <t>Non, cela ne me correspond pas vraiment.</t>
        </is>
      </c>
      <c r="O8" s="1" t="inlineStr">
        <is>
          <t>Vous ne changez pas de méthode car elle a déjà fonctionné.</t>
        </is>
      </c>
      <c r="P8" s="1" t="inlineStr">
        <is>
          <t>Vous demandez de l'aide à une amie qui a plus d'imagination que vous.</t>
        </is>
      </c>
      <c r="Q8" s="1" t="inlineStr">
        <is>
          <t>Vous allez voir les revues, les avis et des critiques pour en savoir plus.</t>
        </is>
      </c>
      <c r="R8" s="1" t="inlineStr">
        <is>
          <t>Avant d'acheter mon billet, je vais me renseigner auprès de l'ambassade du pays.</t>
        </is>
      </c>
      <c r="S8" s="1" t="inlineStr">
        <is>
          <t>Vous vous documentez sur le sujet et interrogez des experts en la matière avant d'essayer de le résoudre.</t>
        </is>
      </c>
      <c r="T8" s="10" t="inlineStr">
        <is>
          <t>Vous allez rechercher sur internet si vous trouver des vidéos explicatives.</t>
        </is>
      </c>
      <c r="U8" s="1" t="inlineStr">
        <is>
          <t>Je vérifie le montant rendu et, constatant l'erreur, je retourne à la caisse pour rectifier la situation.</t>
        </is>
      </c>
      <c r="V8" s="1" t="inlineStr">
        <is>
          <t>Je marque une pause dans mon travail pour prendre des nouvelles et lui dire au revoir. Mais je reprends le travail juste après car il doit être terminé.</t>
        </is>
      </c>
      <c r="W8" s="1" t="inlineStr">
        <is>
          <t>Vous les quittez pour travailler tout seul.</t>
        </is>
      </c>
      <c r="X8" s="1" t="inlineStr">
        <is>
          <t>J’utilise le cheat code, ça n'enlèvera pas le fun.</t>
        </is>
      </c>
      <c r="Y8" s="1" t="inlineStr">
        <is>
          <t>Je fais comme si je ne jouais pas au foot et j'indique que le coupable est parti en courant.</t>
        </is>
      </c>
      <c r="Z8" s="1" t="inlineStr">
        <is>
          <t>Faire en sorte que plus personne ne manque de faim dans le monde.</t>
        </is>
      </c>
      <c r="AA8" s="1" t="inlineStr">
        <is>
          <t>Achetez une voiture qui fonctionne à l'air mais qui ne roule pas super vite et qui n'est pas très jolie.</t>
        </is>
      </c>
      <c r="AB8" s="1" t="inlineStr">
        <is>
          <t>Non, je n'aime pas la douleur.</t>
        </is>
      </c>
      <c r="AC8" s="1" t="inlineStr">
        <is>
          <t>Oui, ça ne me dérange pas.</t>
        </is>
      </c>
      <c r="AD8" s="1" t="inlineStr">
        <is>
          <t>Ça vous énerve, mais vous savez qu'aucun travail n'est parfait donc vous écoutez.</t>
        </is>
      </c>
      <c r="AE8" s="10" t="inlineStr">
        <is>
          <t>En général, j'ai besoin qu'on m'aide à le faire.</t>
        </is>
      </c>
      <c r="AF8" s="1" t="inlineStr">
        <is>
          <t>Vous avez envie d'aller l'aider en lui soufflant son texte.</t>
        </is>
      </c>
      <c r="AG8" s="1" t="inlineStr">
        <is>
          <t>Vous gardez les réponses pour vous, car vous craignez que quelqu'un vous trahisse.</t>
        </is>
      </c>
      <c r="AH8" s="1" t="inlineStr">
        <is>
          <t>Même si je ressens une certaine pression, je suis sûr(e) de mes compétences et prêt(e) à assumer ce rôle de leadership.</t>
        </is>
      </c>
      <c r="AI8" s="1" t="inlineStr">
        <is>
          <t>Vous faites tout pour annuler la présentation car vous ne pourrez pas vous souvenir de tout.</t>
        </is>
      </c>
      <c r="AJ8" s="1" t="inlineStr">
        <is>
          <t>Vous n'allez rien faire…pour le moment.</t>
        </is>
      </c>
      <c r="AK8" s="1" t="inlineStr">
        <is>
          <t>Vous êtes satisfait parce que ça fait une tâche en moins à faire.</t>
        </is>
      </c>
      <c r="AL8" s="10" t="inlineStr">
        <is>
          <t>À ne pas vouloir vous mêler de ce qui ne vous regarde pas.</t>
        </is>
      </c>
      <c r="AM8" s="1" t="inlineStr">
        <is>
          <t>Lancer les blagues, et vous diriger vers les gens les plus drôles.</t>
        </is>
      </c>
      <c r="AN8" s="1" t="inlineStr">
        <is>
          <t>Vous partagez cette information uniquement à ceux que vous aimez bien.</t>
        </is>
      </c>
      <c r="AO8" s="1" t="inlineStr">
        <is>
          <t>Vous êtes pressé(e) de connaître vos futurs collaborateurs.</t>
        </is>
      </c>
      <c r="AP8" s="1" t="inlineStr">
        <is>
          <t>La personne qui va vouloir aller dormir chez les gens, aller visiter les lieux historiques.</t>
        </is>
      </c>
      <c r="AQ8" s="1" t="inlineStr">
        <is>
          <t>Oui plutôt, je trouve ça enrichissant.</t>
        </is>
      </c>
      <c r="AR8" s="1" t="inlineStr">
        <is>
          <t>Oui, tant que l'on s'entend un minimum on n’est pas obligé de s'apprécier.</t>
        </is>
      </c>
      <c r="AS8" s="1" t="inlineStr">
        <is>
          <t>Vous allez couper court à la discussion, car vous savez que vous ne l'êtes pas.</t>
        </is>
      </c>
      <c r="AT8" s="1" t="inlineStr">
        <is>
          <t>Plutôt oui, mais je ne suis pas encore expert en la matière.</t>
        </is>
      </c>
      <c r="AU8" s="1" t="inlineStr">
        <is>
          <t>Lancer les conversations même si vous n'y êtes pas obligé.</t>
        </is>
      </c>
      <c r="AV8" s="1" t="inlineStr">
        <is>
          <t>Je me fixe mes propres objectifs et échéances pour m'assurer que le travail est fait efficacement et à temps.</t>
        </is>
      </c>
      <c r="AW8" s="1" t="inlineStr">
        <is>
          <t>Oui parce qu’ils les font mal.</t>
        </is>
      </c>
      <c r="AX8" s="10" t="inlineStr">
        <is>
          <t>Celui qui analyse les résultats.</t>
        </is>
      </c>
      <c r="AY8" s="1" t="inlineStr">
        <is>
          <t>Je m'inscris à un cours en ligne et je me fixe des objectifs clairs, par exemple atteindre un niveau intermédiaire en six mois, en suivant régulièrement les leçons et en pratiquant quotidiennement.</t>
        </is>
      </c>
      <c r="AZ8" s="1" t="inlineStr">
        <is>
          <t>Avoir un plan de secours pour chaque imprévu.</t>
        </is>
      </c>
      <c r="BA8" s="1" t="inlineStr">
        <is>
          <t>Vous lisez toutes les études concernant l'opération et son taux de réussite. Ensuite vous prenez votre décision.</t>
        </is>
      </c>
      <c r="BB8" s="10" t="inlineStr">
        <is>
          <t xml:space="preserve">Vérifier au fur et à mesure que les tâches ont bien été réalisées </t>
        </is>
      </c>
      <c r="BC8" s="1" t="inlineStr">
        <is>
          <t>Vous êtes gravement perturbé(e) par ce manque d'ordre.</t>
        </is>
      </c>
      <c r="BD8" s="1" t="inlineStr">
        <is>
          <t>Ce changement me perturbe et m’énerve au plus haut point. Je ne sais pas quoi faire.</t>
        </is>
      </c>
      <c r="BE8" s="1" t="inlineStr">
        <is>
          <t>Tout le monde devrait avoir assez pour vivre correctement.</t>
        </is>
      </c>
      <c r="BF8" s="1" t="inlineStr">
        <is>
          <t>Tenter de mettre en place une médiation afin qu'il puisse s'expliquer calmement.</t>
        </is>
      </c>
      <c r="BG8" s="1" t="inlineStr">
        <is>
          <t>J'ai tendance à communiquer davantage avec ceux qui sont proches géographiquement ou dans mon fuseau horaire.</t>
        </is>
      </c>
      <c r="BH8" s="1" t="inlineStr">
        <is>
          <t>Vous allez lui parler pour qu'il/elle se sente moins seul(e).</t>
        </is>
      </c>
      <c r="BI8" s="1" t="inlineStr">
        <is>
          <t>Non, sauf si un expert peut m'aider.</t>
        </is>
      </c>
      <c r="BJ8" s="1" t="inlineStr">
        <is>
          <t>Vous ne préférez rien dire par peur de le décourager.</t>
        </is>
      </c>
      <c r="BK8" s="1" t="inlineStr">
        <is>
          <t xml:space="preserve">À être intéressé parce que vous allez réaliser les activités ensemble.	</t>
        </is>
      </c>
      <c r="BL8" s="1" t="inlineStr">
        <is>
          <t>Vous allez vouloir le former afin d'être sûr qu'il comprenne et réalise mieux la tâche.</t>
        </is>
      </c>
      <c r="BM8" s="1" t="inlineStr">
        <is>
          <t>dont les idées sont écoutées et réalisées.</t>
        </is>
      </c>
      <c r="BN8" s="1" t="inlineStr">
        <is>
          <t>J'emprunte ou j'achète des livres, je cherche des tutoriels en ligne pour approfondir mes connaissances sur le sujet.</t>
        </is>
      </c>
      <c r="BO8" s="1" t="inlineStr">
        <is>
          <t>J'alterne entre cette tâche et d'autres activités plus stimulantes pour garder mon esprit alerte.</t>
        </is>
      </c>
      <c r="BP8" s="1" t="inlineStr">
        <is>
          <t>D’avoir une équipe avec les bonnes compétences techniques.</t>
        </is>
      </c>
      <c r="BQ8" s="1" t="inlineStr">
        <is>
          <t>Identifier les tâches les plus simples et les réaliser rapidement pour pouvoir prendre plus de temps sur les autres.</t>
        </is>
      </c>
      <c r="BR8" s="1" t="inlineStr">
        <is>
          <t>Vous priorisez les tâches qui auront le plus d'impact sur l'activité.</t>
        </is>
      </c>
      <c r="BS8" s="1" t="inlineStr">
        <is>
          <t>Calculer les délais de chaque activité afin de les réaliser au bon moment, pour plus de fun.</t>
        </is>
      </c>
      <c r="BT8" s="1" t="inlineStr">
        <is>
          <t>Essayer de trouver les outils qui vous permettront de travailler deux fois plus vite.</t>
        </is>
      </c>
      <c r="BU8" s="10" t="inlineStr">
        <is>
          <t>J'utilise des outils comme des cartes mentales ou des listes pour organiser mes pensées et visualiser comment je vais aborder le projet.</t>
        </is>
      </c>
      <c r="BV8" s="44" t="inlineStr">
        <is>
          <t>Arriver pile à l'heure du rendez-vous pour profiter au maximum du temps passé avec lui.</t>
        </is>
      </c>
    </row>
    <row r="9" ht="216.6" customHeight="1" thickBot="1">
      <c r="B9" s="40" t="inlineStr">
        <is>
          <t>C</t>
        </is>
      </c>
      <c r="C9" s="1" t="inlineStr">
        <is>
          <t>On comprend mais certains vous signalent qu'il y a beaucoup de fautes de français.</t>
        </is>
      </c>
      <c r="D9" s="1" t="inlineStr">
        <is>
          <t>Je m'excuse en expliquant que je ne suis pas prêt à présenter et je suggère de reporter à un moment où je pourrais mieux me préparer.</t>
        </is>
      </c>
      <c r="E9" s="1" t="inlineStr">
        <is>
          <t>Celui qui n'aime pas trop les sorties et préfère les soirées pizza, maison et jeux vidéo.</t>
        </is>
      </c>
      <c r="F9" s="1" t="inlineStr">
        <is>
          <t>Ça m'arrive régulièrement.</t>
        </is>
      </c>
      <c r="G9" s="1" t="inlineStr">
        <is>
          <t>Mesurer votre franchise afin de ne pas créer de malaise.</t>
        </is>
      </c>
      <c r="H9" s="1" t="inlineStr">
        <is>
          <t>Vous allez voir chez un autre concurrent si ça peut coûter moins cher.</t>
        </is>
      </c>
      <c r="I9" s="1" t="inlineStr">
        <is>
          <t>Faire très peu de mouvement. Vous préférez resté assis, et avoir une posture correcte et simple.</t>
        </is>
      </c>
      <c r="J9" s="1" t="inlineStr">
        <is>
          <t>Je n’aime pas trop ça, mais je vais quand même essayer.</t>
        </is>
      </c>
      <c r="K9" s="1" t="inlineStr">
        <is>
          <t>Les auditeurs comprennent l’histoire mais ont l'air de s'ennuyer.</t>
        </is>
      </c>
      <c r="L9" s="10" t="inlineStr">
        <is>
          <t>Je ne m'en préoccupe pas vraiment,  si c'est important, quelqu'un m'en parlera plus en détail.</t>
        </is>
      </c>
      <c r="M9" s="1" t="inlineStr">
        <is>
          <t>Vous partagez immédiatement l'information sur vos propres réseaux sociaux pour alerter vos amis et votre famille.</t>
        </is>
      </c>
      <c r="N9" s="1" t="inlineStr">
        <is>
          <t>Oui, cela peut m'arriver.</t>
        </is>
      </c>
      <c r="O9" s="1" t="inlineStr">
        <is>
          <t>Vous vous renseignez quand même sur les autres méthodes existantes.</t>
        </is>
      </c>
      <c r="P9" s="1" t="inlineStr">
        <is>
          <t>Vous arrivez immédiatement à imaginer une trame et quelques personnages.</t>
        </is>
      </c>
      <c r="Q9" s="1" t="inlineStr">
        <is>
          <t>Vous allez attendre la sortie parce c'est fatigant de chercher des informations.</t>
        </is>
      </c>
      <c r="R9" s="1" t="inlineStr">
        <is>
          <t>Je vais me fier à l'information transmise par le journal télévisé et changer de destination.</t>
        </is>
      </c>
      <c r="S9" s="1" t="inlineStr">
        <is>
          <t>Vous vous basez sur votre intuition et votre expérience pour le résoudre.</t>
        </is>
      </c>
      <c r="T9" s="10" t="inlineStr">
        <is>
          <t>Vous appelez un expert pour qu'il construise le meuble à votre place.</t>
        </is>
      </c>
      <c r="U9" s="1" t="inlineStr">
        <is>
          <t>Je garde l'argent , en car c'est une chance inattendue.</t>
        </is>
      </c>
      <c r="V9" s="1" t="inlineStr">
        <is>
          <t>Je lâche tout ce que je dois faire pour aller au rendez-vous, par peur que mon ami(e) pense que je ne tiens pas à lui/elle.</t>
        </is>
      </c>
      <c r="W9" s="1" t="inlineStr">
        <is>
          <t>Vous allez chercher à travailler plus que les autres pour compenser leur manque de performance.</t>
        </is>
      </c>
      <c r="X9" s="1" t="inlineStr">
        <is>
          <t>Je ne l'utilise pas car je ne savourerai pas ma victoire.</t>
        </is>
      </c>
      <c r="Y9" s="1" t="inlineStr">
        <is>
          <t>J’attends dehors afin de me dénoncer. Si on doit me sanctionner on me sanctionnera.</t>
        </is>
      </c>
      <c r="Z9" s="1" t="inlineStr">
        <is>
          <t>Obtenir la capacité d'un super héros, n’importe quelle capacité.</t>
        </is>
      </c>
      <c r="AA9" s="1" t="inlineStr">
        <is>
          <t>Une voiture simple et pratique qui va durer dans le temps.</t>
        </is>
      </c>
      <c r="AB9" s="1" t="inlineStr">
        <is>
          <t>Oui même si cela doit faire mal.</t>
        </is>
      </c>
      <c r="AC9" s="1" t="inlineStr">
        <is>
          <t>Non, je ne préfère pas.</t>
        </is>
      </c>
      <c r="AD9" s="1" t="inlineStr">
        <is>
          <t>Vous l'ignorez tout simplement, cette personne vous veut du mal.</t>
        </is>
      </c>
      <c r="AE9" s="1" t="inlineStr">
        <is>
          <t>Plutôt oui.</t>
        </is>
      </c>
      <c r="AF9" s="1" t="inlineStr">
        <is>
          <t>Vous trouvez la situation comique.</t>
        </is>
      </c>
      <c r="AG9" s="1" t="inlineStr">
        <is>
          <t>Vous transmettez les réponses uniquement aux personnes que vous appréciez.</t>
        </is>
      </c>
      <c r="AH9" s="10" t="inlineStr">
        <is>
          <t>Je suis inquiet(e) à l'idée de ne pas être à la hauteur et j'hésite à accepter le rôle.</t>
        </is>
      </c>
      <c r="AI9" s="1" t="inlineStr">
        <is>
          <t>Vous prenez une respiration, et tentez de reproduire votre présentation en puisant dans vos souvenirs.</t>
        </is>
      </c>
      <c r="AJ9" s="1" t="inlineStr">
        <is>
          <t>Vous allez chercher à l'humilier de la même façon qu'il/elle l'a fait en divulguant une anecdote croustillante sur lui/elle.</t>
        </is>
      </c>
      <c r="AK9" s="10" t="inlineStr">
        <is>
          <t>Vous le félicitez et vous l'encouragez à continuer car il a réussi sa mission</t>
        </is>
      </c>
      <c r="AL9" s="10" t="inlineStr">
        <is>
          <t>À vouloir pleurer quand vous voyez votre voisin triste et désespéré.</t>
        </is>
      </c>
      <c r="AM9" s="1" t="inlineStr">
        <is>
          <t>Eviter les conversations.</t>
        </is>
      </c>
      <c r="AN9" s="1" t="inlineStr">
        <is>
          <t>Vous partagez cette information avec ceux qui peuvent vous apporter eux aussi des réponses.</t>
        </is>
      </c>
      <c r="AO9" s="1" t="inlineStr">
        <is>
          <t>Vous le faites mais uniquement parce que vous n'avez pas le choix. Sinon, vous auriez évité.</t>
        </is>
      </c>
      <c r="AP9" s="1" t="inlineStr">
        <is>
          <t>Celle qui va préférer aller au Macdonald à la place de découvrir la cuisine locale.</t>
        </is>
      </c>
      <c r="AQ9" s="1" t="inlineStr">
        <is>
          <t>Non, je préfère rester dans mon coin.</t>
        </is>
      </c>
      <c r="AR9" s="1" t="inlineStr">
        <is>
          <t>Non pas vraiment, il faut un minimum de points communs entre nous.</t>
        </is>
      </c>
      <c r="AS9" s="1" t="inlineStr">
        <is>
          <t>Vous êtes curieux de savoir pourquoi, et bizarrement vous n'êtes pas énervé.</t>
        </is>
      </c>
      <c r="AT9" s="1" t="inlineStr">
        <is>
          <t>Non pas du tout, je préfère avoir un petit groupe d'amis.</t>
        </is>
      </c>
      <c r="AU9" s="1" t="inlineStr">
        <is>
          <t>A chercher un moyen de vous échapper pour éviter de parler aux gens.</t>
        </is>
      </c>
      <c r="AV9" s="1" t="inlineStr">
        <is>
          <t>Je préfère me faire accompagner par un expert afin d'être sûr qu'il soit bien réalisé.</t>
        </is>
      </c>
      <c r="AW9" s="1" t="inlineStr">
        <is>
          <t>Non, parce que j’aime partager mon travail.</t>
        </is>
      </c>
      <c r="AX9" s="10" t="inlineStr">
        <is>
          <t>Celui qui va chercher les outils qui permettront de travailler efficacement.</t>
        </is>
      </c>
      <c r="AY9" s="1" t="inlineStr">
        <is>
          <t>J'achète des livres de langue et des applications, mais sans plan précis sur comment et quand les utiliser.</t>
        </is>
      </c>
      <c r="AZ9" s="1" t="inlineStr">
        <is>
          <t>Que la qualité de l'évènement soit bien au rendez-vous.</t>
        </is>
      </c>
      <c r="BA9" s="1" t="inlineStr">
        <is>
          <t>Vous préférez vous réunir avec d'autres amis à lui pour en parler et prendre la décision à plusieurs.</t>
        </is>
      </c>
      <c r="BB9" s="10" t="inlineStr">
        <is>
          <t>Terminer vite, contrôler la qualité, et ensuite tout corriger.</t>
        </is>
      </c>
      <c r="BC9" s="1" t="inlineStr">
        <is>
          <t>Vous vous en fichez, vous allez vous adapter.</t>
        </is>
      </c>
      <c r="BD9" s="1" t="inlineStr">
        <is>
          <t>Je lis les nouvelles règles du jeu et j'essaie de gagner quand même.</t>
        </is>
      </c>
      <c r="BE9" s="1" t="inlineStr">
        <is>
          <t>Je pense que la répartition des richesses est un reflet de la compétence et du talent individuel, et qu'il n'est pas nécessaire d'ajuster le système.</t>
        </is>
      </c>
      <c r="BF9" s="1" t="inlineStr">
        <is>
          <t>Ne pas vouloir intervenir par crainte que cela vous retombe dessus.</t>
        </is>
      </c>
      <c r="BG9" s="1" t="inlineStr">
        <is>
          <t>Je mets en place des réunions régulières via visioconférence pour nous synchroniser et je m'assure que chacun dispose des outils nécessaires..</t>
        </is>
      </c>
      <c r="BH9" s="1" t="inlineStr">
        <is>
          <t>Vous le/la laissez dans son coin il/elle se fera des amis par il/elle-même.</t>
        </is>
      </c>
      <c r="BI9" s="1" t="inlineStr">
        <is>
          <t>Oui et je vais m'autoformer grâce à internet.</t>
        </is>
      </c>
      <c r="BJ9" s="1" t="inlineStr">
        <is>
          <t>Vous allez lui dire que tout est possible, avec une bonne formation.</t>
        </is>
      </c>
      <c r="BK9" s="1" t="inlineStr">
        <is>
          <t>À vouloir vous accompagner uniquement si les activités leur plaisent.	.</t>
        </is>
      </c>
      <c r="BL9" s="1" t="inlineStr">
        <is>
          <t>Vous le laissez trouver les solutions seul.</t>
        </is>
      </c>
      <c r="BM9" s="1" t="inlineStr">
        <is>
          <t>qui va suivre le plan de manière rigoureuse, pour que tout se passe bien.</t>
        </is>
      </c>
      <c r="BN9" s="1" t="inlineStr">
        <is>
          <t>Je trouve ça intéressant, mais je ne voit pas l'intéret d'en apprendre plus que ce que propose déjà ma formation.</t>
        </is>
      </c>
      <c r="BO9" s="1" t="inlineStr">
        <is>
          <t>Je trouve cela très difficile et je me laisse souvent distraire par d'autres choses, comme mon téléphone.</t>
        </is>
      </c>
      <c r="BP9" s="1" t="inlineStr">
        <is>
          <t>De fédérer les membres du groupe autour de la réussite du projet.</t>
        </is>
      </c>
      <c r="BQ9" s="1" t="inlineStr">
        <is>
          <t>Réaliser le travail en fonction de votre motivation du jour.</t>
        </is>
      </c>
      <c r="BR9" s="1" t="inlineStr">
        <is>
          <t>Vous réalisez d'abord les tâches les plus difficiles car elles prennent du temps.</t>
        </is>
      </c>
      <c r="BS9" s="1" t="inlineStr">
        <is>
          <t>Surtout chercher à se reposer l’esprit, en se prélassant.</t>
        </is>
      </c>
      <c r="BT9" s="1" t="inlineStr">
        <is>
          <t>Trouver un moyen d'obtenir deux jours supplémentaires.</t>
        </is>
      </c>
      <c r="BU9" s="10" t="inlineStr">
        <is>
          <t>Je me sens souvent dépassé(e) et je ne sais pas par où commencer, donc je ne fais pas vraiment de planification visuelle.</t>
        </is>
      </c>
      <c r="BV9" s="44" t="inlineStr">
        <is>
          <t>Arriver 5 minutes en retard pour ne pas passer pour celui ou celle qui était en train de l'attendre.</t>
        </is>
      </c>
    </row>
    <row r="10" ht="231" customHeight="1" thickBot="1">
      <c r="B10" s="40" t="inlineStr">
        <is>
          <t>D</t>
        </is>
      </c>
      <c r="C10" s="1" t="inlineStr">
        <is>
          <t>Vous recevez plusieurs messages vous demandant d'être plus explicite parce qu'on ne comprend rien du tout.</t>
        </is>
      </c>
      <c r="D10" s="1" t="inlineStr">
        <is>
          <t>La situation me met mal à l'aise, donc je décline poliment, préférant ne pas prendre le risque de me présenter sans préparation.</t>
        </is>
      </c>
      <c r="E10" s="1" t="inlineStr">
        <is>
          <t>Celui qui est discret et réservé, qui n'aime pas faire du bruit pour rien.</t>
        </is>
      </c>
      <c r="F10" s="1" t="inlineStr">
        <is>
          <t>Ça m'arrive tout le temps, je dois souvent reprendre depuis le début.</t>
        </is>
      </c>
      <c r="G10" s="1" t="inlineStr">
        <is>
          <t>Bien choisir vos mots afin de ne blesser personne.</t>
        </is>
      </c>
      <c r="H10" s="1" t="inlineStr">
        <is>
          <t>Vous préférez attendre d'avoir plus d'argent ou que le prix baisse pour l'acheter.</t>
        </is>
      </c>
      <c r="I10" s="1" t="inlineStr">
        <is>
          <t>Vous sentir crispé et immobile. Vous avez du mal à regarder les gens dans les yeux. Vous préférez parler du fond de la salle.</t>
        </is>
      </c>
      <c r="J10" s="1" t="inlineStr">
        <is>
          <t>Ce n'est pas du tout mon truc. Je vais paniquer et perdre mes moyens.</t>
        </is>
      </c>
      <c r="K10" s="1" t="inlineStr">
        <is>
          <t>Les personnes qui écoutent froncent les sourcils, comme si vous parliez un langage extraterrestre.</t>
        </is>
      </c>
      <c r="L10" s="10" t="inlineStr">
        <is>
          <t>Je ne suis pas sûr(e) de vouloir investir du temps pour comprendre ce logiciel, s'il ne m'apporte rien dans immédiatement.</t>
        </is>
      </c>
      <c r="M10" s="1" t="inlineStr">
        <is>
          <t>Vous arrêtez d'utiliser votre téléphone mobile par peur des risques pour la santé.</t>
        </is>
      </c>
      <c r="N10" s="1" t="inlineStr">
        <is>
          <t xml:space="preserve">Oui, c'est tout à fait moi. </t>
        </is>
      </c>
      <c r="O10" s="1" t="inlineStr">
        <is>
          <t>Par curiosité vous lui demandez quelle méthode serait la meilleure selon elle.</t>
        </is>
      </c>
      <c r="P10" s="1" t="inlineStr">
        <is>
          <t>Vous arrivez tout de suite à imaginer les lieux, l'époque, les costumes, des personnages, les langues, les voix et accents des personnages.</t>
        </is>
      </c>
      <c r="Q10" s="1" t="inlineStr">
        <is>
          <t>Vous allez attendre la date de sortie, car vous aimez être surpris.</t>
        </is>
      </c>
      <c r="R10" s="1" t="inlineStr">
        <is>
          <t>Je préfère me fier à mon intuition pour me décider.</t>
        </is>
      </c>
      <c r="S10" s="1" t="inlineStr">
        <is>
          <t>Vous vous servez de votre cœur, vos valeurs et vos croyances pour le résoudre.</t>
        </is>
      </c>
      <c r="T10" s="10" t="inlineStr">
        <is>
          <t>Vous utilisez votre intuition pour construire le meuble au fur et à mesure, et vous adapter.</t>
        </is>
      </c>
      <c r="U10" s="1" t="inlineStr">
        <is>
          <t>Je garde l'argent, car c'est le caissier qui à fait l'erreur, pas moi.</t>
        </is>
      </c>
      <c r="V10" s="1" t="inlineStr">
        <is>
          <t>Je demande aux autres membres du groupe de terminer sans moi. Le travail ce n'est pas tout, les amis d'abord, question de principe.</t>
        </is>
      </c>
      <c r="W10" s="1" t="inlineStr">
        <is>
          <t>Vous restez dans le groupe quoi qu'il en coûte.</t>
        </is>
      </c>
      <c r="X10" s="1" t="inlineStr">
        <is>
          <t>Je ne l'utilise pas, même si cela implique que je ne gagnerai jamais.</t>
        </is>
      </c>
      <c r="Y10" s="1" t="inlineStr">
        <is>
          <t xml:space="preserve"> Je me dirige vers la maison pour m'excuser et trouver un moyen de réparer l'erreur.</t>
        </is>
      </c>
      <c r="Z10" s="1" t="inlineStr">
        <is>
          <t>Devenir la personne la plus riche de la planète.</t>
        </is>
      </c>
      <c r="AA10" s="1" t="inlineStr">
        <is>
          <t>Acheter une voiture à essence super puissante et qui en jette comme dans un fast and furious.</t>
        </is>
      </c>
      <c r="AB10" s="1" t="inlineStr">
        <is>
          <t>Oui je le ferai car je m'y suis engagé.</t>
        </is>
      </c>
      <c r="AC10" s="1" t="inlineStr">
        <is>
          <t>Non, c'est tout à fait impossible.</t>
        </is>
      </c>
      <c r="AD10" s="1" t="inlineStr">
        <is>
          <t>Vous l'envoyez valser, il ne sait pas à quel point vous vous êtes appliqué(e) dans votre travail.</t>
        </is>
      </c>
      <c r="AE10" s="1" t="inlineStr">
        <is>
          <t>Oui, j'y arrive très facilement.</t>
        </is>
      </c>
      <c r="AF10" s="1" t="inlineStr">
        <is>
          <t>Vous êtes déçu par sa prestation.</t>
        </is>
      </c>
      <c r="AG10" s="1" t="inlineStr">
        <is>
          <t>Vous transmettez les réponses en priorité à ceux qui rencontrent des difficultés dans la matière.</t>
        </is>
      </c>
      <c r="AH10" s="1" t="inlineStr">
        <is>
          <t>La peur de l'échec me pousse à envisager de décliner l'offre, même si une partie de moi sait que je suis capable.</t>
        </is>
      </c>
      <c r="AI10" s="1" t="inlineStr">
        <is>
          <t>Vous y allez au talent. Ça passe ou ça casse.</t>
        </is>
      </c>
      <c r="AJ10" s="1" t="inlineStr">
        <is>
          <t>Vous allez directement entrer en confrontation  avec cette personne.</t>
        </is>
      </c>
      <c r="AK10" s="1" t="inlineStr">
        <is>
          <t>Vous lui dites que vous êtes impressionné(e) et lui indiquez que vous ferez appel à lui plus tard.</t>
        </is>
      </c>
      <c r="AL10" s="10" t="inlineStr">
        <is>
          <t>À vouloir l'aider et le réconforter même si vous n'êtes pas très proche.</t>
        </is>
      </c>
      <c r="AM10" s="1" t="inlineStr">
        <is>
          <t>Rester dans votre coin, sans qu'on vous dérange.</t>
        </is>
      </c>
      <c r="AN10" s="1" t="inlineStr">
        <is>
          <t>Vous gardez cette information secrète.</t>
        </is>
      </c>
      <c r="AO10" s="1" t="inlineStr">
        <is>
          <t>Cette idée vous fatigue déjà. Vous détestez les travaux de groupe.</t>
        </is>
      </c>
      <c r="AP10" s="1" t="inlineStr">
        <is>
          <t>La personne qui va préférer rester à l'hôtel pour profiter du calme et de la piscine un maximum.</t>
        </is>
      </c>
      <c r="AQ10" s="1" t="inlineStr">
        <is>
          <t>Non,  j'ai  l'impression que je suis trop différent d'eux.</t>
        </is>
      </c>
      <c r="AR10" s="1" t="inlineStr">
        <is>
          <t>Non, il faut absolument que je puisse apprécier les personnes avec qui je travaille.</t>
        </is>
      </c>
      <c r="AS10" s="1" t="inlineStr">
        <is>
          <t>Vous allez écouter son avis car tout le monde doit être écouté, peu importe qu'il ait tort ou raison.</t>
        </is>
      </c>
      <c r="AT10" s="1" t="inlineStr">
        <is>
          <t>Non, je préfère être seul.</t>
        </is>
      </c>
      <c r="AU10" s="1" t="inlineStr">
        <is>
          <t>Essayer de ne pas alle en soirée ou aux anniversaires.</t>
        </is>
      </c>
      <c r="AV10" s="1" t="inlineStr">
        <is>
          <t>je vais demander de l'aide à certains de mes amis qui s'y connaissent mieux.</t>
        </is>
      </c>
      <c r="AW10" s="1" t="inlineStr">
        <is>
          <t>Non, parce que ça allège mon travail.</t>
        </is>
      </c>
      <c r="AX10" s="10" t="inlineStr">
        <is>
          <t>Celui qui fait en sorte de mettre une bonne ambiance pour que tout le monde travaille dans la bonne humeur.</t>
        </is>
      </c>
      <c r="AY10" s="1" t="inlineStr">
        <is>
          <t>J'ai l'intention d'apprendre quand j'ai du temps libre, sans me fixer d'objectifs ou de calendrier spécifiques.</t>
        </is>
      </c>
      <c r="AZ10" s="1" t="inlineStr">
        <is>
          <t>L’avis des participants, car l'essentiel c'est que ça leurs plaise.</t>
        </is>
      </c>
      <c r="BA10" s="1" t="inlineStr">
        <is>
          <t>Vous ne pouvez pas faire de choix, car c'est la vie d’une personne qui est en jeu.</t>
        </is>
      </c>
      <c r="BB10" s="10" t="inlineStr">
        <is>
          <t>Réaliser en premier lieu les tâches qui vous plaisent le plus et les autres ensuite.</t>
        </is>
      </c>
      <c r="BC10" s="1" t="inlineStr">
        <is>
          <t>Ce n'est pas grave, vous ne vous callez jamais sur le planning.</t>
        </is>
      </c>
      <c r="BD10" s="1" t="inlineStr">
        <is>
          <t>Je continue à jouer car ça pourra être amusant.</t>
        </is>
      </c>
      <c r="BE10" s="1" t="inlineStr">
        <is>
          <t>Je ne crois pas qu'il soit nécessaire de redistribuer les richesses du monde ; si certains pays ou personnes sont plus riches, c'est parce qu'ils ont travaillé plus dur pour l'être.</t>
        </is>
      </c>
      <c r="BF10" s="1" t="inlineStr">
        <is>
          <t>Ne pas vouloir intervenir car vous craignez de créer plus de problèmes entre eux.</t>
        </is>
      </c>
      <c r="BG10" s="1" t="inlineStr">
        <is>
          <t>J'adapte mes horaires pour répondre aux besoins des membres de l'équipe en fonction de leurs fuseaux horaires.</t>
        </is>
      </c>
      <c r="BH10" s="1" t="inlineStr">
        <is>
          <t>Vous faites comme si vous ne l'avez pas vu.</t>
        </is>
      </c>
      <c r="BI10" s="1" t="inlineStr">
        <is>
          <t>Oui, et je m'adapterai au fur et à mesure.</t>
        </is>
      </c>
      <c r="BJ10" s="1" t="inlineStr">
        <is>
          <t>Vous allez l'encourager à le faire.</t>
        </is>
      </c>
      <c r="BK10" s="1" t="inlineStr">
        <is>
          <t>À mettre beaucoup de temps avant de vouloir adhérer et vous accompagner à ces activités.</t>
        </is>
      </c>
      <c r="BL10" s="1" t="inlineStr">
        <is>
          <t>Vous allez chercher à réaliser les travaux vous-même, afin d'éviter de perdre du temps.</t>
        </is>
      </c>
      <c r="BM10" s="1" t="inlineStr">
        <is>
          <t>qui écoute ce que les gens ont à dire d'intéressant sans s'imposer.</t>
        </is>
      </c>
      <c r="BN10" s="1" t="inlineStr">
        <is>
          <t>Je pense que c'est la responsabilité des enseignants de nous apprendre ces choses, donc pas besoin d'explorer d'avantage, par moi-même.</t>
        </is>
      </c>
      <c r="BO10" s="1" t="inlineStr">
        <is>
          <t>J'ai tendance à procrastiner ou à éviter la tâche, car je la trouve trop ennuyeuse</t>
        </is>
      </c>
      <c r="BP10" s="1" t="inlineStr">
        <is>
          <t>Que l'équipe s'entende le mieux possible sinon c'est l'anarchie.</t>
        </is>
      </c>
      <c r="BQ10" s="1" t="inlineStr">
        <is>
          <t>Attendre le dernier moment pour le réaliser, car c'est là que vous êtes le plus performant.</t>
        </is>
      </c>
      <c r="BR10" s="1" t="inlineStr">
        <is>
          <t>Vous réalisez d'abord les tâches les plus rapides et celles que vous maîtrisez le mieux.</t>
        </is>
      </c>
      <c r="BS10" s="1" t="inlineStr">
        <is>
          <t>Improviser une fois sur place, car ce qui est spontané est plus amusant.</t>
        </is>
      </c>
      <c r="BT10" s="1" t="inlineStr">
        <is>
          <t>Faire en sorte de reporter le travail.</t>
        </is>
      </c>
      <c r="BU10" s="10" t="inlineStr">
        <is>
          <t>J'attends que les choses se présentent et je réagis au fur et à mesure, sans visualiser à l'avance le processus ou le résultat.</t>
        </is>
      </c>
      <c r="BV10" s="44" t="inlineStr">
        <is>
          <t>Arriver en retard parce que vous mettez beaucoup de temps à vous préparer.</t>
        </is>
      </c>
    </row>
    <row r="11">
      <c r="B11" s="41" t="inlineStr">
        <is>
          <t>Votre choix</t>
        </is>
      </c>
      <c r="C11" s="46" t="n"/>
      <c r="D11" s="46" t="n"/>
      <c r="E11" s="46" t="n"/>
      <c r="F11" s="46" t="n"/>
      <c r="G11" s="46" t="n"/>
      <c r="H11" s="46" t="n"/>
      <c r="I11" s="46" t="n"/>
      <c r="J11" s="46" t="n"/>
      <c r="K11" s="46" t="n"/>
      <c r="L11" s="46" t="n"/>
      <c r="M11" s="46" t="n"/>
      <c r="N11" s="46" t="n"/>
      <c r="O11" s="46" t="n"/>
      <c r="P11" s="46" t="n"/>
      <c r="Q11" s="46" t="n"/>
      <c r="R11" s="46" t="n"/>
      <c r="S11" s="46" t="n"/>
      <c r="T11" s="46" t="n"/>
      <c r="U11" s="46" t="n"/>
      <c r="V11" s="46" t="n"/>
      <c r="W11" s="46" t="n"/>
      <c r="X11" s="46" t="n"/>
      <c r="Y11" s="46" t="n"/>
      <c r="Z11" s="46" t="n"/>
      <c r="AA11" s="46" t="n"/>
      <c r="AB11" s="46" t="n"/>
      <c r="AC11" s="46" t="n"/>
      <c r="AD11" s="46" t="n"/>
      <c r="AE11" s="46" t="n"/>
      <c r="AF11" s="46" t="n"/>
      <c r="AG11" s="46" t="n"/>
      <c r="AH11" s="46" t="n"/>
      <c r="AI11" s="46" t="n"/>
      <c r="AJ11" s="46" t="n"/>
      <c r="AK11" s="46" t="n"/>
      <c r="AL11" s="46" t="n"/>
      <c r="AM11" s="46" t="n"/>
      <c r="AN11" s="46" t="n"/>
      <c r="AO11" s="46" t="n"/>
      <c r="AP11" s="46" t="n"/>
      <c r="AQ11" s="46" t="n"/>
      <c r="AR11" s="46" t="n"/>
      <c r="AS11" s="46" t="n"/>
      <c r="AT11" s="46" t="n"/>
      <c r="AU11" s="46" t="n"/>
      <c r="AV11" s="46" t="n"/>
      <c r="AW11" s="46" t="n"/>
      <c r="AX11" s="46" t="n"/>
      <c r="AY11" s="46" t="n"/>
      <c r="AZ11" s="46" t="n"/>
      <c r="BA11" s="46" t="n"/>
      <c r="BB11" s="46" t="n"/>
      <c r="BC11" s="46" t="n"/>
      <c r="BD11" s="46" t="n"/>
      <c r="BE11" s="46" t="n"/>
      <c r="BF11" s="46" t="n"/>
      <c r="BG11" s="46" t="n"/>
      <c r="BH11" s="46" t="n"/>
      <c r="BI11" s="46" t="n"/>
      <c r="BJ11" s="46" t="n"/>
      <c r="BK11" s="46" t="n"/>
      <c r="BL11" s="46" t="n"/>
      <c r="BM11" s="46" t="n"/>
      <c r="BN11" s="46" t="n"/>
      <c r="BO11" s="46" t="n"/>
      <c r="BP11" s="46" t="n"/>
      <c r="BQ11" s="46" t="n"/>
      <c r="BR11" s="46" t="n"/>
      <c r="BS11" s="46" t="n"/>
      <c r="BT11" s="46" t="n"/>
      <c r="BU11" s="46" t="n"/>
      <c r="BV11" s="46" t="n"/>
    </row>
    <row r="12" ht="345.6" customHeight="1">
      <c r="B12" s="37" t="inlineStr">
        <is>
          <t>Explication réponse</t>
        </is>
      </c>
      <c r="C12" s="38">
        <f>_xlfn.XLOOKUP(C11,'Questionnaire '!$B$17:$B$20,'Questionnaire '!C17:C20,,1)</f>
        <v/>
      </c>
      <c r="D12" s="38">
        <f>_xlfn.XLOOKUP(D11,'Questionnaire '!$B$17:$B$20,'Questionnaire '!D17:D20,,1)</f>
        <v/>
      </c>
      <c r="E12" s="38">
        <f>_xlfn.XLOOKUP(E11,'Questionnaire '!$B$17:$B$20,'Questionnaire '!E17:E20,,1)</f>
        <v/>
      </c>
      <c r="F12" s="38">
        <f>_xlfn.XLOOKUP(F11,'Questionnaire '!$B$17:$B$20,'Questionnaire '!F17:F20,,1)</f>
        <v/>
      </c>
      <c r="G12" s="38">
        <f>_xlfn.XLOOKUP(G11,'Questionnaire '!$B$17:$B$20,'Questionnaire '!G17:G20,,1)</f>
        <v/>
      </c>
      <c r="H12" s="38">
        <f>_xlfn.XLOOKUP(H11,'Questionnaire '!$B$17:$B$20,'Questionnaire '!H17:H20,,1)</f>
        <v/>
      </c>
      <c r="I12" s="38">
        <f>_xlfn.XLOOKUP(I11,'Questionnaire '!$B$17:$B$20,'Questionnaire '!I17:I20,,1)</f>
        <v/>
      </c>
      <c r="J12" s="38">
        <f>_xlfn.XLOOKUP(J11,'Questionnaire '!$B$17:$B$20,'Questionnaire '!J17:J20,,1)</f>
        <v/>
      </c>
      <c r="K12" s="38">
        <f>_xlfn.XLOOKUP(K11,'Questionnaire '!$B$17:$B$20,'Questionnaire '!K17:K20,,1)</f>
        <v/>
      </c>
      <c r="L12" s="38">
        <f>_xlfn.XLOOKUP(L11,'Questionnaire '!$B$17:$B$20,'Questionnaire '!L17:L20,,1)</f>
        <v/>
      </c>
      <c r="M12" s="38">
        <f>_xlfn.XLOOKUP(M11,'Questionnaire '!$B$17:$B$20,'Questionnaire '!M17:M20,,1)</f>
        <v/>
      </c>
      <c r="N12" s="38">
        <f>_xlfn.XLOOKUP(N11,'Questionnaire '!$B$17:$B$20,'Questionnaire '!N17:N20,,1)</f>
        <v/>
      </c>
      <c r="O12" s="38">
        <f>_xlfn.XLOOKUP(O11,'Questionnaire '!$B$17:$B$20,'Questionnaire '!O17:O20,,1)</f>
        <v/>
      </c>
      <c r="P12" s="38">
        <f>_xlfn.XLOOKUP(P11,'Questionnaire '!$B$17:$B$20,'Questionnaire '!P17:P20,,1)</f>
        <v/>
      </c>
      <c r="Q12" s="38">
        <f>_xlfn.XLOOKUP(Q11,'Questionnaire '!$B$17:$B$20,'Questionnaire '!Q17:Q20,,1)</f>
        <v/>
      </c>
      <c r="R12" s="38">
        <f>_xlfn.XLOOKUP(R11,'Questionnaire '!$B$17:$B$20,'Questionnaire '!R17:R20,,1)</f>
        <v/>
      </c>
      <c r="S12" s="38">
        <f>_xlfn.XLOOKUP(S11,'Questionnaire '!$B$17:$B$20,'Questionnaire '!S17:S20,,1)</f>
        <v/>
      </c>
      <c r="T12" s="38">
        <f>_xlfn.XLOOKUP(T11,'Questionnaire '!$B$17:$B$20,'Questionnaire '!T17:T20,,1)</f>
        <v/>
      </c>
      <c r="U12" s="38">
        <f>_xlfn.XLOOKUP(U11,'Questionnaire '!$B$17:$B$20,'Questionnaire '!U17:U20,,1)</f>
        <v/>
      </c>
      <c r="V12" s="38">
        <f>_xlfn.XLOOKUP(V11,'Questionnaire '!$B$17:$B$20,'Questionnaire '!V17:V20,,1)</f>
        <v/>
      </c>
      <c r="W12" s="38">
        <f>_xlfn.XLOOKUP(W11,'Questionnaire '!$B$17:$B$20,'Questionnaire '!W17:W20,,1)</f>
        <v/>
      </c>
      <c r="X12" s="38">
        <f>_xlfn.XLOOKUP(X11,'Questionnaire '!$B$17:$B$20,'Questionnaire '!X17:X20,,1)</f>
        <v/>
      </c>
      <c r="Y12" s="38">
        <f>_xlfn.XLOOKUP(Y11,'Questionnaire '!$B$17:$B$20,'Questionnaire '!Y17:Y20,,1)</f>
        <v/>
      </c>
      <c r="Z12" s="38">
        <f>_xlfn.XLOOKUP(Z11,'Questionnaire '!$B$17:$B$20,'Questionnaire '!Z17:Z20,,1)</f>
        <v/>
      </c>
      <c r="AA12" s="38">
        <f>_xlfn.XLOOKUP(AA11,'Questionnaire '!$B$17:$B$20,'Questionnaire '!AA17:AA20,,1)</f>
        <v/>
      </c>
      <c r="AB12" s="38">
        <f>_xlfn.XLOOKUP(AB11,'Questionnaire '!$B$17:$B$20,'Questionnaire '!AB17:AB20,,1)</f>
        <v/>
      </c>
      <c r="AC12" s="38">
        <f>_xlfn.XLOOKUP(AC11,'Questionnaire '!$B$17:$B$20,'Questionnaire '!AC17:AC20,,1)</f>
        <v/>
      </c>
      <c r="AD12" s="38">
        <f>_xlfn.XLOOKUP(AD11,'Questionnaire '!$B$17:$B$20,'Questionnaire '!AD17:AD20,,1)</f>
        <v/>
      </c>
      <c r="AE12" s="38">
        <f>_xlfn.XLOOKUP(AE11,'Questionnaire '!$B$17:$B$20,'Questionnaire '!AE17:AE20,,1)</f>
        <v/>
      </c>
      <c r="AF12" s="38">
        <f>_xlfn.XLOOKUP(AF11,'Questionnaire '!$B$17:$B$20,'Questionnaire '!AF17:AF20,,1)</f>
        <v/>
      </c>
      <c r="AG12" s="38">
        <f>_xlfn.XLOOKUP(AG11,'Questionnaire '!$B$17:$B$20,'Questionnaire '!AG17:AG20,,1)</f>
        <v/>
      </c>
      <c r="AH12" s="38">
        <f>_xlfn.XLOOKUP(AH11,'Questionnaire '!$B$17:$B$20,'Questionnaire '!AH17:AH20,,1)</f>
        <v/>
      </c>
      <c r="AI12" s="38">
        <f>_xlfn.XLOOKUP(AI11,'Questionnaire '!$B$17:$B$20,'Questionnaire '!AI17:AI20,,1)</f>
        <v/>
      </c>
      <c r="AJ12" s="38">
        <f>_xlfn.XLOOKUP(AJ11,'Questionnaire '!$B$17:$B$20,'Questionnaire '!AJ17:AJ20,,1)</f>
        <v/>
      </c>
      <c r="AK12" s="38">
        <f>_xlfn.XLOOKUP(AK11,'Questionnaire '!$B$17:$B$20,'Questionnaire '!AK17:AK20,,1)</f>
        <v/>
      </c>
      <c r="AL12" s="38">
        <f>_xlfn.XLOOKUP(AL11,'Questionnaire '!$B$17:$B$20,'Questionnaire '!AL17:AL20,,1)</f>
        <v/>
      </c>
      <c r="AM12" s="38">
        <f>_xlfn.XLOOKUP(AM11,'Questionnaire '!$B$17:$B$20,'Questionnaire '!AM17:AM20,,1)</f>
        <v/>
      </c>
      <c r="AN12" s="38">
        <f>_xlfn.XLOOKUP(AN11,'Questionnaire '!$B$17:$B$20,'Questionnaire '!AN17:AN20,,1)</f>
        <v/>
      </c>
      <c r="AO12" s="38">
        <f>_xlfn.XLOOKUP(AO11,'Questionnaire '!$B$17:$B$20,'Questionnaire '!AO17:AO20,,1)</f>
        <v/>
      </c>
      <c r="AP12" s="38">
        <f>_xlfn.XLOOKUP(AP11,'Questionnaire '!$B$17:$B$20,'Questionnaire '!AP17:AP20,,1)</f>
        <v/>
      </c>
      <c r="AQ12" s="38">
        <f>_xlfn.XLOOKUP(AQ11,'Questionnaire '!$B$17:$B$20,'Questionnaire '!AQ17:AQ20,,1)</f>
        <v/>
      </c>
      <c r="AR12" s="38">
        <f>_xlfn.XLOOKUP(AR11,'Questionnaire '!$B$17:$B$20,'Questionnaire '!AR17:AR20,,1)</f>
        <v/>
      </c>
      <c r="AS12" s="38">
        <f>_xlfn.XLOOKUP(AS11,'Questionnaire '!$B$17:$B$20,'Questionnaire '!AS17:AS20,,1)</f>
        <v/>
      </c>
      <c r="AT12" s="38">
        <f>_xlfn.XLOOKUP(AT11,'Questionnaire '!$B$17:$B$20,'Questionnaire '!AT17:AT20,,1)</f>
        <v/>
      </c>
      <c r="AU12" s="38">
        <f>_xlfn.XLOOKUP(AU11,'Questionnaire '!$B$17:$B$20,'Questionnaire '!AU17:AU20,,1)</f>
        <v/>
      </c>
      <c r="AV12" s="38">
        <f>_xlfn.XLOOKUP(AV11,'Questionnaire '!$B$17:$B$20,'Questionnaire '!AV17:AV20,,1)</f>
        <v/>
      </c>
      <c r="AW12" s="38">
        <f>_xlfn.XLOOKUP(AW11,'Questionnaire '!$B$17:$B$20,'Questionnaire '!AW17:AW20,,1)</f>
        <v/>
      </c>
      <c r="AX12" s="38">
        <f>_xlfn.XLOOKUP(AX11,'Questionnaire '!$B$17:$B$20,'Questionnaire '!AX17:AX20,,1)</f>
        <v/>
      </c>
      <c r="AY12" s="38">
        <f>_xlfn.XLOOKUP(AY11,'Questionnaire '!$B$17:$B$20,'Questionnaire '!AY17:AY20,,1)</f>
        <v/>
      </c>
      <c r="AZ12" s="38">
        <f>_xlfn.XLOOKUP(AZ11,'Questionnaire '!$B$17:$B$20,'Questionnaire '!AZ17:AZ20,,1)</f>
        <v/>
      </c>
      <c r="BA12" s="38">
        <f>_xlfn.XLOOKUP(BA11,'Questionnaire '!$B$17:$B$20,'Questionnaire '!BA17:BA20,,1)</f>
        <v/>
      </c>
      <c r="BB12" s="38">
        <f>_xlfn.XLOOKUP(BB11,'Questionnaire '!$B$17:$B$20,'Questionnaire '!BB17:BB20,,1)</f>
        <v/>
      </c>
      <c r="BC12" s="38">
        <f>_xlfn.XLOOKUP(BC11,'Questionnaire '!$B$17:$B$20,'Questionnaire '!BC17:BC20,,1)</f>
        <v/>
      </c>
      <c r="BD12" s="38">
        <f>_xlfn.XLOOKUP(BD11,'Questionnaire '!$B$17:$B$20,'Questionnaire '!BD17:BD20,,1)</f>
        <v/>
      </c>
      <c r="BE12" s="38">
        <f>_xlfn.XLOOKUP(BE11,'Questionnaire '!$B$17:$B$20,'Questionnaire '!BE17:BE20,,1)</f>
        <v/>
      </c>
      <c r="BF12" s="38">
        <f>_xlfn.XLOOKUP(BF11,'Questionnaire '!$B$17:$B$20,'Questionnaire '!BF17:BF20,,1)</f>
        <v/>
      </c>
      <c r="BG12" s="38">
        <f>_xlfn.XLOOKUP(BG11,'Questionnaire '!$B$17:$B$20,'Questionnaire '!BG17:BG20,,1)</f>
        <v/>
      </c>
      <c r="BH12" s="38">
        <f>_xlfn.XLOOKUP(BH11,'Questionnaire '!$B$17:$B$20,'Questionnaire '!BH17:BH20,,1)</f>
        <v/>
      </c>
      <c r="BI12" s="38">
        <f>_xlfn.XLOOKUP(BI11,'Questionnaire '!$B$17:$B$20,'Questionnaire '!BI17:BI20,,1)</f>
        <v/>
      </c>
      <c r="BJ12" s="38">
        <f>_xlfn.XLOOKUP(BJ11,'Questionnaire '!$B$17:$B$20,'Questionnaire '!BJ17:BJ20,,1)</f>
        <v/>
      </c>
      <c r="BK12" s="38">
        <f>_xlfn.XLOOKUP(BK11,'Questionnaire '!$B$17:$B$20,'Questionnaire '!BK17:BK20,,1)</f>
        <v/>
      </c>
      <c r="BL12" s="38">
        <f>_xlfn.XLOOKUP(BL11,'Questionnaire '!$B$17:$B$20,'Questionnaire '!BL17:BL20,,1)</f>
        <v/>
      </c>
      <c r="BM12" s="38">
        <f>_xlfn.XLOOKUP(BM11,'Questionnaire '!$B$17:$B$20,'Questionnaire '!BM17:BM20,,1)</f>
        <v/>
      </c>
      <c r="BN12" s="38">
        <f>_xlfn.XLOOKUP(BN11,'Questionnaire '!$B$17:$B$20,'Questionnaire '!BN17:BN20,,1)</f>
        <v/>
      </c>
      <c r="BO12" s="38">
        <f>_xlfn.XLOOKUP(BO11,'Questionnaire '!$B$17:$B$20,'Questionnaire '!BO17:BO20,,1)</f>
        <v/>
      </c>
      <c r="BP12" s="38">
        <f>_xlfn.XLOOKUP(BP11,'Questionnaire '!$B$17:$B$20,'Questionnaire '!BP17:BP20,,1)</f>
        <v/>
      </c>
      <c r="BQ12" s="38">
        <f>_xlfn.XLOOKUP(BQ11,'Questionnaire '!$B$17:$B$20,'Questionnaire '!BQ17:BQ20,,1)</f>
        <v/>
      </c>
      <c r="BR12" s="38">
        <f>_xlfn.XLOOKUP(BR11,'Questionnaire '!$B$17:$B$20,'Questionnaire '!BR17:BR20,,1)</f>
        <v/>
      </c>
      <c r="BS12" s="38">
        <f>_xlfn.XLOOKUP(BS11,'Questionnaire '!$B$17:$B$20,'Questionnaire '!BS17:BS20,,1)</f>
        <v/>
      </c>
      <c r="BT12" s="38">
        <f>_xlfn.XLOOKUP(BT11,'Questionnaire '!$B$17:$B$20,'Questionnaire '!BT17:BT20,,1)</f>
        <v/>
      </c>
      <c r="BU12" s="38">
        <f>_xlfn.XLOOKUP(BU11,'Questionnaire '!$B$17:$B$20,'Questionnaire '!BU17:BU20,,1)</f>
        <v/>
      </c>
      <c r="BV12" s="38">
        <f>_xlfn.XLOOKUP(BV11,'Questionnaire '!$B$17:$B$20,'Questionnaire '!BV17:BV20,,1)</f>
        <v/>
      </c>
    </row>
    <row r="13" ht="28.8" customHeight="1">
      <c r="B13" s="13" t="inlineStr">
        <is>
          <t>Point soft skill</t>
        </is>
      </c>
      <c r="C13" s="15">
        <f>IF(OR(C11="A",C11="B"),1," ")</f>
        <v/>
      </c>
      <c r="D13" s="15">
        <f>IF(OR(D11="A",D11="B"),1," ")</f>
        <v/>
      </c>
      <c r="E13" s="15">
        <f>IF(OR(E11="A",E11="B"),1," ")</f>
        <v/>
      </c>
      <c r="F13" s="15">
        <f>IF(OR(F11="A",F11="B"),1," ")</f>
        <v/>
      </c>
      <c r="G13" s="15">
        <f>IF(OR(G11="C",G11="D"),1," ")</f>
        <v/>
      </c>
      <c r="H13" s="15">
        <f>IF(OR(H11="A",H11="B"),1," ")</f>
        <v/>
      </c>
      <c r="I13" s="15">
        <f>IF(OR(I11="A",I11="B"),1," ")</f>
        <v/>
      </c>
      <c r="J13" s="15">
        <f>IF(OR(J11="A",J11="B"),1," ")</f>
        <v/>
      </c>
      <c r="K13" s="15">
        <f>IF(OR(K11="a",K11="b"),1," ")</f>
        <v/>
      </c>
      <c r="L13" s="15">
        <f>IF(OR(L11="a",L11="b"),1," ")</f>
        <v/>
      </c>
      <c r="M13" s="15">
        <f>IF(OR(M11="a",M11="b"),1," ")</f>
        <v/>
      </c>
      <c r="N13" s="15">
        <f>IF(OR(N11="C",N11="D"),1," ")</f>
        <v/>
      </c>
      <c r="O13" s="15">
        <f>IF(OR(O11="C",O11="D"),1," ")</f>
        <v/>
      </c>
      <c r="P13" s="15">
        <f>IF(OR(P11="c",P11="d"),1," ")</f>
        <v/>
      </c>
      <c r="Q13" s="15">
        <f>IF(OR(Q11="a",Q11="b"),1," ")</f>
        <v/>
      </c>
      <c r="R13" s="15">
        <f>IF(OR(R11="a",R11="b"),1," ")</f>
        <v/>
      </c>
      <c r="S13" s="15">
        <f>IF(OR(S11="a",S11="b"),1," ")</f>
        <v/>
      </c>
      <c r="T13" s="15">
        <f>IF(OR(T11="a",T11="b"),1," ")</f>
        <v/>
      </c>
      <c r="U13" s="15">
        <f>IF(OR(U11="A",U11="B"),1," ")</f>
        <v/>
      </c>
      <c r="V13" s="15">
        <f>IF(OR(V11="a",V11="b"),1," ")</f>
        <v/>
      </c>
      <c r="W13" s="15">
        <f>IF(OR(W11="c",W11="d"),1," ")</f>
        <v/>
      </c>
      <c r="X13" s="15">
        <f>IF(OR(X11="c",X11="d"),1," ")</f>
        <v/>
      </c>
      <c r="Y13" s="15">
        <f>IF(OR(Y11="c",Y11="d"),1," ")</f>
        <v/>
      </c>
      <c r="Z13" s="15">
        <f>IF(OR(Z11="a",Z11="b"),1," ")</f>
        <v/>
      </c>
      <c r="AA13" s="15">
        <f>IF(OR(AA11="a",AA11="b"),1," ")</f>
        <v/>
      </c>
      <c r="AB13" s="15">
        <f>IF(OR(AB11="c",AB11="d"),1," ")</f>
        <v/>
      </c>
      <c r="AC13" s="15">
        <f>IF(OR(AC11="a",AC11="b"),1," ")</f>
        <v/>
      </c>
      <c r="AD13" s="15">
        <f>IF(OR(AD11="a",AD11="b"),1," ")</f>
        <v/>
      </c>
      <c r="AE13" s="15">
        <f>IF(OR(AE11="c",AE11="d"),1," ")</f>
        <v/>
      </c>
      <c r="AF13" s="15">
        <f>IF(OR(AF11="a",AF11="b"),1," ")</f>
        <v/>
      </c>
      <c r="AG13" s="15">
        <f>IF(OR(AG11="c",AG11="d"),1," ")</f>
        <v/>
      </c>
      <c r="AH13" s="15">
        <f>IF(OR(AH11="a",AH11="b"),1," ")</f>
        <v/>
      </c>
      <c r="AI13" s="15">
        <f>IF(OR(AI11="c",AI11="d"),1," ")</f>
        <v/>
      </c>
      <c r="AJ13" s="15">
        <f>IF(OR(AJ11="a",AJ11="b"),1," ")</f>
        <v/>
      </c>
      <c r="AK13" s="15">
        <f>IF(OR(AK11="c",AK11="d"),1," ")</f>
        <v/>
      </c>
      <c r="AL13" s="15">
        <f>IF(OR(AL11="c",AL11="d"),1," ")</f>
        <v/>
      </c>
      <c r="AM13" s="15">
        <f>IF(OR(AM11="a",AM11="b"),1," ")</f>
        <v/>
      </c>
      <c r="AN13" s="15">
        <f>IF(OR(AN11="a",AN11="b"),1," ")</f>
        <v/>
      </c>
      <c r="AO13" s="15">
        <f>IF(OR(AO11="a",AO11="b"),1," ")</f>
        <v/>
      </c>
      <c r="AP13" s="15">
        <f>IF(OR(AP11="a",AP11="b"),1," ")</f>
        <v/>
      </c>
      <c r="AQ13" s="15">
        <f>IF(OR(AQ11="a",AQ11="b"),1," ")</f>
        <v/>
      </c>
      <c r="AR13" s="15">
        <f>IF(OR(AR11="a",AR11="b"),1," ")</f>
        <v/>
      </c>
      <c r="AS13" s="15">
        <f>IF(OR(AS11="c",AS11="d"),1," ")</f>
        <v/>
      </c>
      <c r="AT13" s="15">
        <f>IF(OR(AT11="a",AT11="b"),1," ")</f>
        <v/>
      </c>
      <c r="AU13" s="15">
        <f>IF(OR(AU11="a",AU11="b"),1," ")</f>
        <v/>
      </c>
      <c r="AV13" s="15">
        <f>IF(OR(AV11="A",AV11="B"),1," ")</f>
        <v/>
      </c>
      <c r="AW13" s="15">
        <f>IF(OR(AW11="c",AW11="d"),1," ")</f>
        <v/>
      </c>
      <c r="AX13" s="15">
        <f>IF(OR(AX11="c",AX11="d"),1," ")</f>
        <v/>
      </c>
      <c r="AY13" s="15">
        <f>IF(OR(AY11="a",AY11="b"),1," ")</f>
        <v/>
      </c>
      <c r="AZ13" s="15">
        <f>IF(OR(AZ11="a",AZ11="b"),1," ")</f>
        <v/>
      </c>
      <c r="BA13" s="15">
        <f>IF(OR(BA11="a",BA11="b"),1," ")</f>
        <v/>
      </c>
      <c r="BB13" s="15">
        <f>IF(OR(BB11="a",BB11="b"),1," ")</f>
        <v/>
      </c>
      <c r="BC13" s="15">
        <f>IF(OR(BC11="c",BC11="d"),1," ")</f>
        <v/>
      </c>
      <c r="BD13" s="15">
        <f>IF(OR(BD11="c",BD11="d"),1," ")</f>
        <v/>
      </c>
      <c r="BE13" s="15">
        <f>IF(OR(BE11="a",BE11="b"),1," ")</f>
        <v/>
      </c>
      <c r="BF13" s="15">
        <f>IF(OR(BF11="a",BF11="b"),1," ")</f>
        <v/>
      </c>
      <c r="BG13" s="15">
        <f>IF(OR(BG11="c",BG11="d"),1," ")</f>
        <v/>
      </c>
      <c r="BH13" s="15">
        <f>IF(OR(BH11="a",BH11="b"),1," ")</f>
        <v/>
      </c>
      <c r="BI13" s="15">
        <f>IF(OR(BI11="c",BI11="d"),1," ")</f>
        <v/>
      </c>
      <c r="BJ13" s="15">
        <f>IF(OR(BJ11="c",BJ11="d"),1," ")</f>
        <v/>
      </c>
      <c r="BK13" s="15">
        <f>IF(OR(BK11="a",BK11="b"),1," ")</f>
        <v/>
      </c>
      <c r="BL13" s="15">
        <f>IF(OR(BL11="a",BL11="b"),1," ")</f>
        <v/>
      </c>
      <c r="BM13" s="15">
        <f>IF(OR(BM11="a",BM11="b"),1," ")</f>
        <v/>
      </c>
      <c r="BN13" s="15">
        <f>IF(OR(BN11="A",BN11="B"),1," ")</f>
        <v/>
      </c>
      <c r="BO13" s="15">
        <f>IF(OR(BO11="a",BO11="b"),1," ")</f>
        <v/>
      </c>
      <c r="BP13" s="15">
        <f>IF(OR(BP11="a",BP11="b"),1," ")</f>
        <v/>
      </c>
      <c r="BQ13" s="15">
        <f>IF(OR(BQ11="a",BQ11="b"),1," ")</f>
        <v/>
      </c>
      <c r="BR13" s="15">
        <f>IF(OR(BR11="a",BR11="b"),1," ")</f>
        <v/>
      </c>
      <c r="BS13" s="15">
        <f>IF(OR(BS11="a",BS11="b"),1," ")</f>
        <v/>
      </c>
      <c r="BT13" s="15">
        <f>IF(OR(BT11="a",BT11="b"),1," ")</f>
        <v/>
      </c>
      <c r="BU13" s="15">
        <f>IF(OR(BU11="a",BU11="b"),1," ")</f>
        <v/>
      </c>
      <c r="BV13" s="15">
        <f>IF(OR(BV11="a",BV11="b"),1," ")</f>
        <v/>
      </c>
    </row>
    <row r="14" ht="28.8" customHeight="1">
      <c r="B14" s="13" t="inlineStr">
        <is>
          <t>Sélection soft skills</t>
        </is>
      </c>
      <c r="C14" s="6" t="inlineStr">
        <is>
          <t>Soft skills</t>
        </is>
      </c>
      <c r="D14" s="1" t="inlineStr">
        <is>
          <t>Soft skills</t>
        </is>
      </c>
      <c r="E14" s="6" t="inlineStr">
        <is>
          <t>Soft skills</t>
        </is>
      </c>
      <c r="F14" s="6" t="inlineStr">
        <is>
          <t>Soft skills</t>
        </is>
      </c>
      <c r="G14" s="6" t="inlineStr">
        <is>
          <t>Soft skills</t>
        </is>
      </c>
      <c r="H14" s="6" t="inlineStr">
        <is>
          <t>Soft skills</t>
        </is>
      </c>
      <c r="I14" s="6" t="inlineStr">
        <is>
          <t>Soft skills</t>
        </is>
      </c>
      <c r="J14" s="1" t="inlineStr">
        <is>
          <t>Soft skills</t>
        </is>
      </c>
      <c r="K14" s="6" t="inlineStr">
        <is>
          <t>Soft skills</t>
        </is>
      </c>
      <c r="L14" s="1" t="inlineStr">
        <is>
          <t>Soft skills</t>
        </is>
      </c>
      <c r="M14" s="6" t="inlineStr">
        <is>
          <t>Soft skills</t>
        </is>
      </c>
      <c r="N14" s="1" t="inlineStr">
        <is>
          <t>Soft skills</t>
        </is>
      </c>
      <c r="O14" s="6" t="inlineStr">
        <is>
          <t>Soft skills</t>
        </is>
      </c>
      <c r="P14" s="6" t="inlineStr">
        <is>
          <t>Soft skills</t>
        </is>
      </c>
      <c r="Q14" s="1" t="inlineStr">
        <is>
          <t>Soft skills</t>
        </is>
      </c>
      <c r="R14" s="1" t="inlineStr">
        <is>
          <t>Soft skills</t>
        </is>
      </c>
      <c r="S14" s="6" t="inlineStr">
        <is>
          <t>Soft skills</t>
        </is>
      </c>
      <c r="T14" s="1" t="inlineStr">
        <is>
          <t>Soft skills</t>
        </is>
      </c>
      <c r="U14" s="1" t="inlineStr">
        <is>
          <t>Soft skills</t>
        </is>
      </c>
      <c r="V14" s="6" t="inlineStr">
        <is>
          <t>Soft skills</t>
        </is>
      </c>
      <c r="W14" s="1" t="inlineStr">
        <is>
          <t>Soft skills</t>
        </is>
      </c>
      <c r="X14" s="6" t="inlineStr">
        <is>
          <t>Soft skills</t>
        </is>
      </c>
      <c r="Y14" s="1" t="inlineStr">
        <is>
          <t>Soft skills</t>
        </is>
      </c>
      <c r="Z14" s="1" t="inlineStr">
        <is>
          <t>Soft skills</t>
        </is>
      </c>
      <c r="AA14" s="1" t="inlineStr">
        <is>
          <t>Soft skills</t>
        </is>
      </c>
      <c r="AB14" s="1" t="inlineStr">
        <is>
          <t>Soft skills</t>
        </is>
      </c>
      <c r="AC14" s="1" t="inlineStr">
        <is>
          <t>Soft skills</t>
        </is>
      </c>
      <c r="AD14" s="1" t="inlineStr">
        <is>
          <t>Soft skills</t>
        </is>
      </c>
      <c r="AE14" s="6" t="inlineStr">
        <is>
          <t>Soft skills</t>
        </is>
      </c>
      <c r="AF14" s="1" t="inlineStr">
        <is>
          <t>Soft skills</t>
        </is>
      </c>
      <c r="AG14" s="1" t="inlineStr">
        <is>
          <t>Soft skills</t>
        </is>
      </c>
      <c r="AH14" s="6" t="inlineStr">
        <is>
          <t>Soft skills</t>
        </is>
      </c>
      <c r="AI14" s="1" t="inlineStr">
        <is>
          <t>Soft skills</t>
        </is>
      </c>
      <c r="AJ14" s="1" t="inlineStr">
        <is>
          <t>Soft skills</t>
        </is>
      </c>
      <c r="AK14" s="6" t="inlineStr">
        <is>
          <t>Soft skills</t>
        </is>
      </c>
      <c r="AL14" s="1" t="inlineStr">
        <is>
          <t>Soft skills</t>
        </is>
      </c>
      <c r="AM14" s="1" t="inlineStr">
        <is>
          <t>Soft skills</t>
        </is>
      </c>
      <c r="AN14" s="6" t="inlineStr">
        <is>
          <t>Soft skills</t>
        </is>
      </c>
      <c r="AO14" s="6" t="inlineStr">
        <is>
          <t>Soft skills</t>
        </is>
      </c>
      <c r="AP14" s="1" t="inlineStr">
        <is>
          <t>Soft skills</t>
        </is>
      </c>
      <c r="AQ14" s="1" t="inlineStr">
        <is>
          <t>Soft skills</t>
        </is>
      </c>
      <c r="AR14" s="6" t="inlineStr">
        <is>
          <t>Soft skills</t>
        </is>
      </c>
      <c r="AS14" s="6" t="inlineStr">
        <is>
          <t>Soft skills</t>
        </is>
      </c>
      <c r="AT14" s="1" t="inlineStr">
        <is>
          <t>Soft skills</t>
        </is>
      </c>
      <c r="AU14" s="1" t="inlineStr">
        <is>
          <t>Soft skills</t>
        </is>
      </c>
      <c r="AV14" s="15" t="inlineStr">
        <is>
          <t>Soft skills</t>
        </is>
      </c>
      <c r="AW14" s="48" t="inlineStr">
        <is>
          <t>Soft skills</t>
        </is>
      </c>
      <c r="AX14" s="48" t="inlineStr">
        <is>
          <t>Soft skills</t>
        </is>
      </c>
      <c r="AY14" s="48" t="inlineStr">
        <is>
          <t>Soft skills</t>
        </is>
      </c>
      <c r="AZ14" s="15" t="inlineStr">
        <is>
          <t>Soft skills</t>
        </is>
      </c>
      <c r="BA14" s="48" t="inlineStr">
        <is>
          <t>Soft skills</t>
        </is>
      </c>
      <c r="BB14" s="48" t="inlineStr">
        <is>
          <t>Soft skills</t>
        </is>
      </c>
      <c r="BC14" s="15" t="inlineStr">
        <is>
          <t>Soft skills</t>
        </is>
      </c>
      <c r="BD14" s="48" t="inlineStr">
        <is>
          <t>Soft skills</t>
        </is>
      </c>
      <c r="BE14" s="1" t="inlineStr">
        <is>
          <t>Soft skills</t>
        </is>
      </c>
      <c r="BF14" s="6" t="inlineStr">
        <is>
          <t>Soft skills</t>
        </is>
      </c>
      <c r="BG14" s="6" t="inlineStr">
        <is>
          <t>Soft skills</t>
        </is>
      </c>
      <c r="BH14" s="1" t="inlineStr">
        <is>
          <t>Soft skills</t>
        </is>
      </c>
      <c r="BI14" s="1" t="inlineStr">
        <is>
          <t>Soft skills</t>
        </is>
      </c>
      <c r="BJ14" s="6" t="inlineStr">
        <is>
          <t>Soft skills</t>
        </is>
      </c>
      <c r="BK14" s="1" t="inlineStr">
        <is>
          <t>Soft skills</t>
        </is>
      </c>
      <c r="BL14" s="1" t="inlineStr">
        <is>
          <t>Soft skills</t>
        </is>
      </c>
      <c r="BM14" s="1" t="inlineStr">
        <is>
          <t>Soft skills</t>
        </is>
      </c>
      <c r="BN14" s="6" t="inlineStr">
        <is>
          <t>Soft skills</t>
        </is>
      </c>
      <c r="BO14" s="6" t="inlineStr">
        <is>
          <t>Soft skills</t>
        </is>
      </c>
      <c r="BP14" s="1" t="inlineStr">
        <is>
          <t>Soft skills</t>
        </is>
      </c>
      <c r="BQ14" s="1" t="inlineStr">
        <is>
          <t>Soft skills</t>
        </is>
      </c>
      <c r="BR14" s="1" t="inlineStr">
        <is>
          <t>Soft skills</t>
        </is>
      </c>
      <c r="BS14" s="1" t="inlineStr">
        <is>
          <t>Soft skills</t>
        </is>
      </c>
      <c r="BT14" s="6" t="inlineStr">
        <is>
          <t>Soft skills</t>
        </is>
      </c>
      <c r="BU14" s="6" t="inlineStr">
        <is>
          <t>Soft skills</t>
        </is>
      </c>
      <c r="BV14" s="10" t="inlineStr">
        <is>
          <t>Soft skills</t>
        </is>
      </c>
    </row>
    <row r="15" ht="28.8" customHeight="1">
      <c r="B15" s="13" t="inlineStr">
        <is>
          <t>Soft skill à développer ?</t>
        </is>
      </c>
      <c r="C15" s="48">
        <f>IF(C13=1,"","Oui.")</f>
        <v/>
      </c>
      <c r="D15" s="48">
        <f>IF(D13=1,"","Oui.")</f>
        <v/>
      </c>
      <c r="E15" s="48">
        <f>IF(E13=1,"","Oui.")</f>
        <v/>
      </c>
      <c r="F15" s="48">
        <f>IF(F13=1,"","Oui.")</f>
        <v/>
      </c>
      <c r="G15" s="48">
        <f>IF(G13=1,"","Oui.")</f>
        <v/>
      </c>
      <c r="H15" s="48">
        <f>IF(H13=1,"","Oui.")</f>
        <v/>
      </c>
      <c r="I15" s="48">
        <f>IF(I13=1,"","Oui.")</f>
        <v/>
      </c>
      <c r="J15" s="48">
        <f>IF(J13=1,"","Oui.")</f>
        <v/>
      </c>
      <c r="K15" s="48">
        <f>IF(K13=1,"","Oui.")</f>
        <v/>
      </c>
      <c r="L15" s="48">
        <f>IF(L13=1,"","Oui.")</f>
        <v/>
      </c>
      <c r="M15" s="48">
        <f>IF(M13=1,"","Oui.")</f>
        <v/>
      </c>
      <c r="N15" s="48">
        <f>IF(N13=1,"","Oui.")</f>
        <v/>
      </c>
      <c r="O15" s="48">
        <f>IF(O13=1,"","Oui.")</f>
        <v/>
      </c>
      <c r="P15" s="48">
        <f>IF(P13=1,"","Oui.")</f>
        <v/>
      </c>
      <c r="Q15" s="48">
        <f>IF(Q13=1,"","Oui.")</f>
        <v/>
      </c>
      <c r="R15" s="48">
        <f>IF(R13=1,"","Oui.")</f>
        <v/>
      </c>
      <c r="S15" s="48">
        <f>IF(S13=1,"","Oui.")</f>
        <v/>
      </c>
      <c r="T15" s="48">
        <f>IF(T13=1,"","Oui.")</f>
        <v/>
      </c>
      <c r="U15" s="48">
        <f>IF(U13=1,"","Oui.")</f>
        <v/>
      </c>
      <c r="V15" s="48">
        <f>IF(V13=1,"","Oui.")</f>
        <v/>
      </c>
      <c r="W15" s="48">
        <f>IF(W13=1,"","Oui.")</f>
        <v/>
      </c>
      <c r="X15" s="48">
        <f>IF(X13=1,"","Oui.")</f>
        <v/>
      </c>
      <c r="Y15" s="48">
        <f>IF(Y13=1,"","Oui.")</f>
        <v/>
      </c>
      <c r="Z15" s="48">
        <f>IF(Z13=1,"","Oui.")</f>
        <v/>
      </c>
      <c r="AA15" s="48">
        <f>IF(AA13=1,"","Oui.")</f>
        <v/>
      </c>
      <c r="AB15" s="48">
        <f>IF(AB13=1,"","Oui.")</f>
        <v/>
      </c>
      <c r="AC15" s="48">
        <f>IF(AC13=1,"","Oui.")</f>
        <v/>
      </c>
      <c r="AD15" s="48">
        <f>IF(AD13=1,"","Oui.")</f>
        <v/>
      </c>
      <c r="AE15" s="48">
        <f>IF(AE13=1,"","Oui.")</f>
        <v/>
      </c>
      <c r="AF15" s="48">
        <f>IF(AF13=1,"","Oui.")</f>
        <v/>
      </c>
      <c r="AG15" s="48">
        <f>IF(AG13=1,"","Oui.")</f>
        <v/>
      </c>
      <c r="AH15" s="48">
        <f>IF(AH13=1,"","Oui.")</f>
        <v/>
      </c>
      <c r="AI15" s="48">
        <f>IF(AI13=1,"","Oui.")</f>
        <v/>
      </c>
      <c r="AJ15" s="48">
        <f>IF(AJ13=1,"","Oui.")</f>
        <v/>
      </c>
      <c r="AK15" s="48">
        <f>IF(AK13=1,"","Oui.")</f>
        <v/>
      </c>
      <c r="AL15" s="48">
        <f>IF(AL13=1,"","Oui.")</f>
        <v/>
      </c>
      <c r="AM15" s="48">
        <f>IF(AM13=1,"","Oui.")</f>
        <v/>
      </c>
      <c r="AN15" s="48">
        <f>IF(AN13=1,"","Oui.")</f>
        <v/>
      </c>
      <c r="AO15" s="48">
        <f>IF(AO13=1,"","Oui.")</f>
        <v/>
      </c>
      <c r="AP15" s="48">
        <f>IF(AP13=1,"","Oui.")</f>
        <v/>
      </c>
      <c r="AQ15" s="48">
        <f>IF(AQ13=1,"","Oui.")</f>
        <v/>
      </c>
      <c r="AR15" s="48">
        <f>IF(AR13=1,"","Oui.")</f>
        <v/>
      </c>
      <c r="AS15" s="48">
        <f>IF(AS13=1,"","Oui.")</f>
        <v/>
      </c>
      <c r="AT15" s="48">
        <f>IF(AT13=1,"","Oui.")</f>
        <v/>
      </c>
      <c r="AU15" s="48">
        <f>IF(AU13=1,"","Oui.")</f>
        <v/>
      </c>
      <c r="AV15" s="48">
        <f>IF(AV13=1,"","Oui.")</f>
        <v/>
      </c>
      <c r="AW15" s="48">
        <f>IF(AW13=1,"","Oui.")</f>
        <v/>
      </c>
      <c r="AX15" s="48">
        <f>IF(AX13=1,"","Oui.")</f>
        <v/>
      </c>
      <c r="AY15" s="48">
        <f>IF(AY13=1,"","Oui.")</f>
        <v/>
      </c>
      <c r="AZ15" s="48">
        <f>IF(AZ13=1,"","Oui.")</f>
        <v/>
      </c>
      <c r="BA15" s="48">
        <f>IF(BA13=1,"","Oui.")</f>
        <v/>
      </c>
      <c r="BB15" s="48">
        <f>IF(BB13=1,"","Oui.")</f>
        <v/>
      </c>
      <c r="BC15" s="48">
        <f>IF(BC13=1,"","Oui.")</f>
        <v/>
      </c>
      <c r="BD15" s="48">
        <f>IF(BD13=1,"","Oui.")</f>
        <v/>
      </c>
      <c r="BE15" s="48">
        <f>IF(BE13=1,"","Oui.")</f>
        <v/>
      </c>
      <c r="BF15" s="48">
        <f>IF(BF13=1,"","Oui.")</f>
        <v/>
      </c>
      <c r="BG15" s="48">
        <f>IF(BG13=1,"","Oui.")</f>
        <v/>
      </c>
      <c r="BH15" s="48">
        <f>IF(BH13=1,"","Oui.")</f>
        <v/>
      </c>
      <c r="BI15" s="48">
        <f>IF(BI13=1,"","Oui.")</f>
        <v/>
      </c>
      <c r="BJ15" s="48">
        <f>IF(BJ13=1,"","Oui.")</f>
        <v/>
      </c>
      <c r="BK15" s="48">
        <f>IF(BK13=1,"","Oui.")</f>
        <v/>
      </c>
      <c r="BL15" s="48">
        <f>IF(BL13=1,"","Oui.")</f>
        <v/>
      </c>
      <c r="BM15" s="48">
        <f>IF(BM13=1,"","Oui.")</f>
        <v/>
      </c>
      <c r="BN15" s="48">
        <f>IF(BN13=1,"","Oui.")</f>
        <v/>
      </c>
      <c r="BO15" s="48">
        <f>IF(BO13=1,"","Oui.")</f>
        <v/>
      </c>
      <c r="BP15" s="48">
        <f>IF(BP13=1,"","Oui.")</f>
        <v/>
      </c>
      <c r="BQ15" s="48">
        <f>IF(BQ13=1,"","Oui.")</f>
        <v/>
      </c>
      <c r="BR15" s="48">
        <f>IF(BR13=1,"","Oui.")</f>
        <v/>
      </c>
      <c r="BS15" s="48">
        <f>IF(BS13=1,"","Oui.")</f>
        <v/>
      </c>
      <c r="BT15" s="48">
        <f>IF(BT13=1,"","Oui.")</f>
        <v/>
      </c>
      <c r="BU15" s="48">
        <f>IF(BU13=1,"","Oui.")</f>
        <v/>
      </c>
      <c r="BV15" s="48">
        <f>IF(BV13=1,"","Oui.")</f>
        <v/>
      </c>
    </row>
    <row r="16" ht="28.8" customHeight="1">
      <c r="B16" s="23" t="inlineStr">
        <is>
          <t>remarque affirmation</t>
        </is>
      </c>
      <c r="C16" s="48" t="n"/>
      <c r="D16" s="48" t="n"/>
      <c r="E16" s="48" t="n"/>
      <c r="F16" s="48" t="n"/>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c r="AP16" s="48" t="n"/>
      <c r="AQ16" s="48" t="n"/>
      <c r="AR16" s="48" t="n"/>
      <c r="AS16" s="48" t="n"/>
      <c r="AT16" s="48" t="n"/>
      <c r="AU16" s="48" t="n"/>
      <c r="AV16" s="48" t="n"/>
      <c r="AW16" s="48" t="n"/>
      <c r="AX16" s="48" t="n"/>
      <c r="AY16" s="48" t="n"/>
      <c r="AZ16" s="48" t="n"/>
      <c r="BA16" s="48" t="n"/>
      <c r="BB16" s="48" t="n"/>
      <c r="BC16" s="48" t="n"/>
      <c r="BD16" s="48" t="n"/>
      <c r="BE16" s="48" t="n"/>
      <c r="BF16" s="48" t="n"/>
      <c r="BG16" s="48" t="n"/>
      <c r="BH16" s="48" t="n"/>
      <c r="BI16" s="48" t="n"/>
      <c r="BJ16" s="48" t="n"/>
      <c r="BK16" s="48" t="n"/>
      <c r="BL16" s="48" t="n"/>
      <c r="BM16" s="48" t="n"/>
      <c r="BN16" s="48" t="n"/>
      <c r="BO16" s="48" t="n"/>
      <c r="BP16" s="48" t="n"/>
      <c r="BQ16" s="48" t="n"/>
      <c r="BR16" s="48" t="n"/>
      <c r="BS16" s="48" t="n"/>
      <c r="BT16" s="48" t="n"/>
      <c r="BU16" s="48" t="n"/>
      <c r="BV16" s="48" t="n"/>
    </row>
    <row r="17" ht="244.8" customHeight="1">
      <c r="B17" s="23" t="inlineStr">
        <is>
          <t xml:space="preserve">A </t>
        </is>
      </c>
      <c r="C17" s="24" t="inlineStr">
        <is>
          <t>Vous êtes particulièrement doué à l'écrit.</t>
        </is>
      </c>
      <c r="D17" s="24" t="inlineStr">
        <is>
          <t>Vous avez de l'audace et êtes relativement spontané.</t>
        </is>
      </c>
      <c r="E17" s="24" t="inlineStr">
        <is>
          <t>Vous êtes quelqu'un d'enthousiaste et de dynamique.</t>
        </is>
      </c>
      <c r="F17" s="24" t="inlineStr">
        <is>
          <t>Vous savez vous exprimer extrêmement bien.</t>
        </is>
      </c>
      <c r="G17" s="24" t="inlineStr">
        <is>
          <t>Vous pouvez parfois manquer de diplomatie et de tact quand vous vous adressez aux gens.</t>
        </is>
      </c>
      <c r="H17" s="24" t="inlineStr">
        <is>
          <t>Vous aimez négocier et trouver des accords profitables pour tous.</t>
        </is>
      </c>
      <c r="I17" s="24" t="inlineStr">
        <is>
          <t>Lorsque vous parlez, vous avez une attitude corporelle théâtrale. Vous bougez énormément.</t>
        </is>
      </c>
      <c r="J17" s="24" t="inlineStr">
        <is>
          <t>Vous aimez être le centre de l'attention et vous exprimer en public.</t>
        </is>
      </c>
      <c r="K17" s="24" t="inlineStr">
        <is>
          <t>Vous avez un sens de l'art oratoire développé.</t>
        </is>
      </c>
      <c r="L17" s="25" t="inlineStr">
        <is>
          <t>Vous aimez vous documenter, et cela, même sur sujet où vous avez déjà une certaine expertise.</t>
        </is>
      </c>
      <c r="M17" s="24" t="inlineStr">
        <is>
          <t>Vous avez une faculté de discernement élevé.</t>
        </is>
      </c>
      <c r="N17" s="24" t="inlineStr">
        <is>
          <t>Vous avez très peu d'humour quand vous vous retrouvez dans une situation qui demande de l'observation et de la concentration !</t>
        </is>
      </c>
      <c r="O17" s="24" t="inlineStr">
        <is>
          <t>Votre ouverture d’esprit s’arrête au moment où vous vous sentez directement visé par les critiques.</t>
        </is>
      </c>
      <c r="P17" s="24" t="inlineStr">
        <is>
          <t>Vous pouvez souvent manquer d’imagination ou de créativité.</t>
        </is>
      </c>
      <c r="Q17" s="24" t="inlineStr">
        <is>
          <t>Vous êtes aussi quelqu'un de curieux, et vous aimez aller à la recherche de l'information quand un sujet vous plaît.</t>
        </is>
      </c>
      <c r="R17" s="24" t="inlineStr">
        <is>
          <t>Vous êtes attentifs aux détails et aimez suggérer des améliorations à ce que vous observez.</t>
        </is>
      </c>
      <c r="S17" s="24" t="inlineStr">
        <is>
          <t>Afin de résoudre un problème, vous ne vous concentrez pas sur votre intuition ou votre expérience, mais plutôt sur des éléments tangibles.</t>
        </is>
      </c>
      <c r="T17" s="25" t="inlineStr">
        <is>
          <t>Face à un problème, vous êtes du genre à rechercher toutes les informations pouvant vous permettre de le résoudre avant de demander l'aide d'un expert.</t>
        </is>
      </c>
      <c r="U17" s="24" t="inlineStr">
        <is>
          <t>Vous saisissez les opportunités, surtout quand une situation peut vous avantager, quitte à transgresser certaines règles.</t>
        </is>
      </c>
      <c r="V17" s="24" t="inlineStr">
        <is>
          <t>Vous avez une conscience professionnelle développée.</t>
        </is>
      </c>
      <c r="W17" s="24" t="inlineStr">
        <is>
          <t>Vous préférez une grande réussite en solitaire plutôt qu'une défaite liée à une loyauté fanatique.</t>
        </is>
      </c>
      <c r="X17" s="24" t="inlineStr">
        <is>
          <t>Pour vous, demander de l’aide ou utiliser des astuces pour réussir n’est pas un signe de faiblesse. Cela ne diminue en rien la valeur de vos succès.</t>
        </is>
      </c>
      <c r="Y17" s="24" t="inlineStr">
        <is>
          <t>Vous n'aimez pas vous mettre en danger, même quand vous êtes le responsable des tracas.</t>
        </is>
      </c>
      <c r="Z17" s="24" t="inlineStr">
        <is>
          <t>Vous pensez plus aux autres qu'à vous-même quand vous avez le choix.</t>
        </is>
      </c>
      <c r="AA17" s="24" t="inlineStr">
        <is>
          <t>Vous avez un attrait pour la protection de l'environnement.</t>
        </is>
      </c>
      <c r="AB17" s="24" t="inlineStr">
        <is>
          <t>Vous ne pouvez pas vous engager si vous ressentez que cela peut vous nuire.</t>
        </is>
      </c>
      <c r="AC17" s="24" t="inlineStr">
        <is>
          <t>Vous êtes tolérant envers les autres et considérer leur avis même s'ils sont à l'opposé de vos croyances..</t>
        </is>
      </c>
      <c r="AD17" s="24" t="inlineStr">
        <is>
          <t>Votre recherche d'amélioration vous permet d'apprécier et étudier les critiques.</t>
        </is>
      </c>
      <c r="AE17" s="24" t="inlineStr">
        <is>
          <t>Vous avez des difficultés à expliquer qui vous êtes vraiment. Comme si vous ne vous connaissez pas réellement.</t>
        </is>
      </c>
      <c r="AF17" s="24" t="inlineStr">
        <is>
          <t>Vous êtes quelqu'un d'empathique. Vous arrivez à vous mettre à la place des autres.</t>
        </is>
      </c>
      <c r="AG17" s="24" t="inlineStr">
        <is>
          <t>Vous avez tendance à vous soucier plus de votre bien-être qu'a celui des autres.</t>
        </is>
      </c>
      <c r="AH17" s="24" t="inlineStr">
        <is>
          <t>Vous débordez de confiance en vous, ce qui peut vous rendre téméraire parfois.</t>
        </is>
      </c>
      <c r="AI17" s="24" t="inlineStr">
        <is>
          <t>Vous avez du mal à supporter les situations de stress intenses. Au point de perdre vos moyens.</t>
        </is>
      </c>
      <c r="AJ17" s="24" t="inlineStr">
        <is>
          <t>Vous n’êtes pas du genre à perdre vos moyens facilement quand une personne tente de vous rabaisser.</t>
        </is>
      </c>
      <c r="AK17" s="24" t="inlineStr">
        <is>
          <t>Vous manquez parfois de considération pour le travail ou les succès des autres. Vous oubliez parfois de les féliciter quand vous considérez que leurs tâches ne sont pas difficiles.</t>
        </is>
      </c>
      <c r="AL17" s="24" t="inlineStr">
        <is>
          <t>Vous pouvez parfois manquer de sensibilité sur des sujets que d'autres trouveraient émouvant.</t>
        </is>
      </c>
      <c r="AM17" s="24" t="inlineStr">
        <is>
          <t>Vous avez un aisance relationnel développée. Vous aimez découvrir les autres.</t>
        </is>
      </c>
      <c r="AN17" s="24" t="inlineStr">
        <is>
          <t>Vous êtes quelqu'un d'altruiste, car vous aimez aider ceux dans le besoin.</t>
        </is>
      </c>
      <c r="AO17" s="24" t="inlineStr">
        <is>
          <t>Vous aimez le travail en équipe.</t>
        </is>
      </c>
      <c r="AP17" s="24" t="inlineStr">
        <is>
          <t>Vous avez un attrait pour la découverte d'autres cultures et d'autres langues.</t>
        </is>
      </c>
      <c r="AQ17" s="26" t="inlineStr">
        <is>
          <t>Vous aimez parler et discuter avec les autres.</t>
        </is>
      </c>
      <c r="AR17" s="24" t="inlineStr">
        <is>
          <t>Vous avez une facilité à coopérer avec les gens. Même quand vous n'avez pas d'affinité avec eux.</t>
        </is>
      </c>
      <c r="AS17" s="24" t="inlineStr">
        <is>
          <t>Il vous arrive d’être peu tolérant et ouvert d’esprit quand quelqu’un à un avis contraire au vôtre.</t>
        </is>
      </c>
      <c r="AT17" s="26" t="inlineStr">
        <is>
          <t>Vous prenez du plaisir à créer une communauté ou un réseau autour de vous. Vous êtes du genre à vous faire des amis rapidement.</t>
        </is>
      </c>
      <c r="AU17" s="26" t="inlineStr">
        <is>
          <t>Vous êtes extrèmement sociable.</t>
        </is>
      </c>
      <c r="AV17" s="24" t="inlineStr">
        <is>
          <t>Vous aimez être autonome dans ce que vous entreprenez.</t>
        </is>
      </c>
      <c r="AW17" s="24" t="inlineStr">
        <is>
          <t>Vous n'aimez pas déléguer les tâches qui incombent votre responsabilité.</t>
        </is>
      </c>
      <c r="AX17" s="25" t="inlineStr">
        <is>
          <t>Dans un travail de groupe, vous préférez donner la direction.</t>
        </is>
      </c>
      <c r="AY17" s="24" t="inlineStr">
        <is>
          <t>Vous n'aimez pas vous fixer des objectifs qui vous semblent disproportionnés par rapport à vos capacités. Vous êtes réaliste.</t>
        </is>
      </c>
      <c r="AZ17" s="24" t="inlineStr">
        <is>
          <t>Vous préférez prévoir les évènements néfastes d’un projet avant de le commencer, par peur de ne pas le mener à bien.</t>
        </is>
      </c>
      <c r="BA17" s="24" t="inlineStr">
        <is>
          <t>Vous n'avez aucun mal prendre des décisions  seul, même quand elles peuvent être dificilles et avoir de lourdes conséquences sur les autres.</t>
        </is>
      </c>
      <c r="BB17" s="25" t="inlineStr">
        <is>
          <t>Vous aimez superviser et surveiller les activités ou les tâches qui doivent être réalisées.</t>
        </is>
      </c>
      <c r="BC17" s="24" t="inlineStr">
        <is>
          <t>Vous pouvez parfois être intransigeant quant au changement de dernières minutes, à la modification de règles ou de processus.</t>
        </is>
      </c>
      <c r="BD17" s="24" t="inlineStr">
        <is>
          <t>Vous détestez être pris de court. Vous avez d'ailleurs du mal à gérer émotionnellement avec les évènements imprévus.</t>
        </is>
      </c>
      <c r="BE17" s="24" t="inlineStr">
        <is>
          <t>Vous cherchez à être équitable dans vos choix et décisions. Surtout quand cela peut impacter la vie des gens.</t>
        </is>
      </c>
      <c r="BF17" s="24" t="inlineStr">
        <is>
          <t>Vous aimez résoudre les conflits entre les gens. Surtout ceux qui sont liés aux personnes de votre entourage proche.</t>
        </is>
      </c>
      <c r="BG17" s="24" t="inlineStr">
        <is>
          <t>Vous n'êtes pas un spécialiste de la coordination du travail à distance, vous préférez gérer les choses en présentiel.</t>
        </is>
      </c>
      <c r="BH17" s="24" t="inlineStr">
        <is>
          <t>Vous n'aimez pas l'exclusion. Vous avez tendance à inclure les gens dans votre groupe si vous les sentez seuls ou isolés.</t>
        </is>
      </c>
      <c r="BI17" s="24" t="inlineStr">
        <is>
          <t>Vous pouvez parfois manquer d'esprit d'initiative.</t>
        </is>
      </c>
      <c r="BJ17" s="24" t="inlineStr">
        <is>
          <t>Vous préférez confronter les gens à la réalité plutôt que de les valoriser inutilement.</t>
        </is>
      </c>
      <c r="BK17" s="24" t="inlineStr">
        <is>
          <t>Vous êtes du type à plaire aux gens naturellement. Vous avez probablement beaucoup de charisme.</t>
        </is>
      </c>
      <c r="BL17" s="24" t="inlineStr">
        <is>
          <t>Vous aimez aider les autres à s’élever et se parfaire. Vous prodiguez souvent des conseils.</t>
        </is>
      </c>
      <c r="BM17" s="24" t="inlineStr">
        <is>
          <t>Vous aimez prendre le lead quand un projet doit se mettre en place. Vous aimez montrer la voie à suivre.</t>
        </is>
      </c>
      <c r="BN17" s="24" t="inlineStr">
        <is>
          <t>Vous n'aimez pas vous autoformer. Vous préférez avoir l'aide d'un mentor ou d'un professeur quand le besoin s'en ressent.</t>
        </is>
      </c>
      <c r="BO17" s="24" t="inlineStr">
        <is>
          <t>Vous n’avez pas besoin d’apprécier une tâche ou une activité, afin de vous concentrer pleinement dessus.</t>
        </is>
      </c>
      <c r="BP17" s="24" t="inlineStr">
        <is>
          <t>Dans un projet de groupe, vous vous focalisez plus sur les outils nécessaires sa réalisation qu'aux relations entre les membres.</t>
        </is>
      </c>
      <c r="BQ17" s="24" t="inlineStr">
        <is>
          <t>Vous aimez gérer votre temps correctement et prendre de l'avance sur les activités.</t>
        </is>
      </c>
      <c r="BR17" s="24" t="inlineStr">
        <is>
          <t>Vous préférez prioriser les choses en fonction de ce qui est nécessaire de faire plutôt qu'en fonction de ce que vous préférez faire.</t>
        </is>
      </c>
      <c r="BS17" s="24" t="inlineStr">
        <is>
          <t>Vous aimez planifier les choses. Vous n'aimez pas être débordé ou perturbé par un manque de prévision.</t>
        </is>
      </c>
      <c r="BT17" s="24" t="inlineStr">
        <is>
          <t>Vous cherchez à être efficace quand vous êtes dos au mur.</t>
        </is>
      </c>
      <c r="BU17" s="24" t="inlineStr">
        <is>
          <t>En général, vous avez du mal à vous projeter mentalement  dans une situation future.</t>
        </is>
      </c>
      <c r="BV17" s="25" t="inlineStr">
        <is>
          <t>En général, vous faites tout pour respecter les délais et horaires fixés.</t>
        </is>
      </c>
    </row>
    <row r="18" ht="331.2" customHeight="1">
      <c r="B18" s="23" t="inlineStr">
        <is>
          <t>B</t>
        </is>
      </c>
      <c r="C18" s="24" t="inlineStr">
        <is>
          <t>Vous savez aussi vous exprimer à l'écrit. En général, les gens comprennent facilement vos propos quand ils vous lisent.</t>
        </is>
      </c>
      <c r="D18" s="24" t="inlineStr">
        <is>
          <t>Vous avez de l'audace et êtes relativement spontané.</t>
        </is>
      </c>
      <c r="E18" s="24" t="inlineStr">
        <is>
          <t>Vous aimez motiver les autres à s'amuser.</t>
        </is>
      </c>
      <c r="F18" s="24" t="inlineStr">
        <is>
          <t>Vous êtes clair quand vous vous exprimez à l'orale, ceux qui vous écoutent comprennent facilement vos propos.</t>
        </is>
      </c>
      <c r="G18" s="24" t="inlineStr">
        <is>
          <t>Vous aimez relater les faits de façon claire et précise, vous n'aimez pas les discours fallacieux.</t>
        </is>
      </c>
      <c r="H18" s="24" t="inlineStr">
        <is>
          <t>Vous aimez entamer des négociations quand ça peut vous avantager.</t>
        </is>
      </c>
      <c r="I18" s="24" t="inlineStr">
        <is>
          <t>Lorsque vous vous adressez aux gens vous utiliser aussi votre corps pour vous exprimer ce que vous ressentez, surtout vos mains.</t>
        </is>
      </c>
      <c r="J18" s="24" t="inlineStr">
        <is>
          <t>Vous n'avez aucun problème à vous exprimer devant une foule. Vous n'êtes pas timide.</t>
        </is>
      </c>
      <c r="K18" s="27" t="inlineStr">
        <is>
          <t>Vous savez raconter les histoires et les anecdotes. En général, les gens vous écoutent attentivement.</t>
        </is>
      </c>
      <c r="L18" s="24" t="inlineStr">
        <is>
          <t>Vous aimez vous documenter, et cela, même sur sujet où vous avez déjà une certaine expertise.</t>
        </is>
      </c>
      <c r="M18" s="24" t="inlineStr">
        <is>
          <t>Vous avez une faculté de discernement élevé.</t>
        </is>
      </c>
      <c r="N18" s="24" t="inlineStr">
        <is>
          <t>Vous ne cherchez qu'à observer les détails qui vous semblent utiles. Le reste a peu d'importance à vos yeux.</t>
        </is>
      </c>
      <c r="O18" s="24" t="inlineStr">
        <is>
          <t>Vous pouvez souvent manquer d'ouverture si on remet en question vos capacités ou vos avis.</t>
        </is>
      </c>
      <c r="P18" s="24" t="inlineStr">
        <is>
          <t>Vous pouvez souvent manquer d’imagination ou de créativité.</t>
        </is>
      </c>
      <c r="Q18" s="24" t="inlineStr">
        <is>
          <t>Vous êtes aussi quelqu'un de curieux, et vous aimez aller à la recherche de l'information quand un sujet vous plaît.</t>
        </is>
      </c>
      <c r="R18" s="24" t="inlineStr">
        <is>
          <t>Vous utilisez plus vos sens que votre intuition pour juger et prendre des décisions. Vous aimez les éléments tangibles aux théories. Vous êtes observateur.</t>
        </is>
      </c>
      <c r="S18" s="24" t="inlineStr">
        <is>
          <t>Afin de résoudre un problème, vous préférez vous renseigner sur le sujet dans le but d'avoir tous les paramètres nécessaires à sa résolution.</t>
        </is>
      </c>
      <c r="T18" s="25" t="inlineStr">
        <is>
          <t>Face à une complexité, vous préférez vous renseigner sur la source du problème pour pouvoir les résoudre.</t>
        </is>
      </c>
      <c r="U18" s="24" t="inlineStr">
        <is>
          <t>Dans les situations qui peuvent vous avantager, vous pouvez transgresser certaines règles seulement si vous êtes sûr de ne jamais vous faire prendre.</t>
        </is>
      </c>
      <c r="V18" s="24" t="inlineStr">
        <is>
          <t>Vous avez une conscience professionnelle accrue.</t>
        </is>
      </c>
      <c r="W18" s="24" t="inlineStr">
        <is>
          <t>Vous trouvez idiot de se mettre en danger pour les autres, et détester quand leur faiblesse à un impact sur vous.</t>
        </is>
      </c>
      <c r="X18" s="24" t="inlineStr">
        <is>
          <t>Pour vous, demander de l’aide ou utiliser des astuces pour réussir n’est pas un signe de faiblesse. Cela ne diminue en rien la valeur de vos succès.</t>
        </is>
      </c>
      <c r="Y18" s="24" t="inlineStr">
        <is>
          <t>Vous n'aimez pas vous mettre en danger, même quand vous êtes le responsable des tracas.</t>
        </is>
      </c>
      <c r="Z18" s="24" t="inlineStr">
        <is>
          <t>Vous avez aussi le sens du sacrifice.</t>
        </is>
      </c>
      <c r="AA18" s="24" t="inlineStr">
        <is>
          <t>Vous avez un attrait pour la protection de l'environnement.</t>
        </is>
      </c>
      <c r="AB18" s="24" t="inlineStr">
        <is>
          <t>Vous ne pouvez pas vous engager si vous ressentez que cela peut vous nuire.</t>
        </is>
      </c>
      <c r="AC18" s="24" t="inlineStr">
        <is>
          <t>Vous êtes tolérant envers les autres et considérer leur avis même s'ils sont à l'opposé de vos croyances..</t>
        </is>
      </c>
      <c r="AD18" s="24" t="inlineStr">
        <is>
          <t>Les critiques vous irritent, mais vous préférez les écouter que de perdre un moyen de vous améliorer.</t>
        </is>
      </c>
      <c r="AE18" s="25" t="inlineStr">
        <is>
          <t>Vous avez des difficultés à expliquer qui vous êtes vraiment. Comme si vous ne vous connaissez pas réellement.</t>
        </is>
      </c>
      <c r="AF18" s="24" t="inlineStr">
        <is>
          <t>Vous êtes quelqu'un d'empathique. Vous arrivez à vous mettre à la place des autres.</t>
        </is>
      </c>
      <c r="AG18" s="24" t="inlineStr">
        <is>
          <t>Vous avez tendance à vous soucier plus de votre bien-être qu'a celui des autres.</t>
        </is>
      </c>
      <c r="AH18" s="24" t="inlineStr">
        <is>
          <t>En général, vous avez confiance en vos capacités. Vous êtes courageux dans ce que vous entreprenez</t>
        </is>
      </c>
      <c r="AI18" s="24" t="inlineStr">
        <is>
          <t>Vous avez du mal à supporter les situations de stress intenses. Au point de perdre vos moyens.</t>
        </is>
      </c>
      <c r="AJ18" s="24" t="inlineStr">
        <is>
          <t>Vous n’êtes pas du genre à perdre vos moyens facilement quand une personne tente de vous rabaisser.</t>
        </is>
      </c>
      <c r="AK18" s="24" t="inlineStr">
        <is>
          <t>Vous manquez parfois de considération pour le travail ou les succès des autres. Vous oubliez parfois de les féliciter quand vous considérez que leurs tâches ne sont pas difficiles.</t>
        </is>
      </c>
      <c r="AL18" s="25" t="inlineStr">
        <is>
          <t>Vous n'êtes pas quelqu'un que l'on peut vous émouvoir facilement.</t>
        </is>
      </c>
      <c r="AM18" s="24" t="inlineStr">
        <is>
          <t>Vous avez un aisance relationnel développée.</t>
        </is>
      </c>
      <c r="AN18" s="24" t="inlineStr">
        <is>
          <t>Vous n'êtes pas du genre à être généreux avec les gens sans un minimum d'affinités.</t>
        </is>
      </c>
      <c r="AO18" s="24" t="inlineStr">
        <is>
          <t>Vous aimez le travail en équipe tant que vous avez des affinité avec vos collaborateurs.</t>
        </is>
      </c>
      <c r="AP18" s="24" t="inlineStr">
        <is>
          <t>Vous avez un attrait pour la découverte d'autres cultures et d'autres langues.</t>
        </is>
      </c>
      <c r="AQ18" s="24" t="inlineStr">
        <is>
          <t>Vous aimez parler et discuter avec les autres.</t>
        </is>
      </c>
      <c r="AR18" s="24" t="inlineStr">
        <is>
          <t>Vous avez une facilité à coopérer avec les gens. Mais il faut quand même un minimum de cordialité entre vous.</t>
        </is>
      </c>
      <c r="AS18" s="24" t="inlineStr">
        <is>
          <t>Il vous arrive d’être peu tolérant et ouvert d’esprit quand quelqu’un à un avis contraire au vôtre.</t>
        </is>
      </c>
      <c r="AT18" s="26" t="inlineStr">
        <is>
          <t>Vous prenez du plaisir à créer une communauté ou un réseau autour de vous. Vous êtes du genre à vous faire des amis rapidement.</t>
        </is>
      </c>
      <c r="AU18" s="26" t="inlineStr">
        <is>
          <t>Vous n'aimez pas les moments de silence et de gène. Votre sociabilité vous incite à lancer les conversations.</t>
        </is>
      </c>
      <c r="AV18" s="24" t="inlineStr">
        <is>
          <t>Vous aimez être autonome dans ce que vous entreprenez. Même si vous n'êtes pas compétent dans le domaine.</t>
        </is>
      </c>
      <c r="AW18" s="24" t="inlineStr">
        <is>
          <t>Vous n'aimez pas déléguer les tâches qui incombent votre responsabilité.</t>
        </is>
      </c>
      <c r="AX18" s="25" t="inlineStr">
        <is>
          <t>Dans un travail de groupe, vous êtes le stratège, celui qui aime donner les solutions.</t>
        </is>
      </c>
      <c r="AY18" s="24" t="inlineStr">
        <is>
          <t>Vous n'aimez pas vous fixer des objectifs qui vous semblent disproportionnés par rapport à vos capacités. Vous êtes réaliste.</t>
        </is>
      </c>
      <c r="AZ18" s="24" t="inlineStr">
        <is>
          <t>Vous préférez prévoir les évènements néfastes d’un projet avant de le commencer, par peur de ne pas le mener à bien.</t>
        </is>
      </c>
      <c r="BA18" s="24" t="inlineStr">
        <is>
          <t>Pour prendre des décisions difficiles , vous ne vous basez pas sur votre intuition ou vos émotions, mais plutôt sur des données vérifiables. Ce qui peut vous permettre de trancher plus facilement quand le choix est difficile.</t>
        </is>
      </c>
      <c r="BB18" s="24" t="inlineStr">
        <is>
          <t>Lorsque vous travaillez en groupe, vous aimez contrôler régulièrement l'avancée des travaux. vous avez un attrait pour la supervision.</t>
        </is>
      </c>
      <c r="BC18" s="24" t="inlineStr">
        <is>
          <t>Vous pouvez parfois être intransigeant quant au changement de dernières minutes, à la modification de règles ou de processus.</t>
        </is>
      </c>
      <c r="BD18" s="24" t="inlineStr">
        <is>
          <t>Vous détestez être pris de court. Vous avez d'ailleurs du mal à gérer émotionnellement avec les évènements imprévus.</t>
        </is>
      </c>
      <c r="BE18" s="24" t="inlineStr">
        <is>
          <t>Vous cherchez à être équitable dans vos choix et décisions. Surtout quand cela peut impacter la vie des gens.</t>
        </is>
      </c>
      <c r="BF18" s="24" t="inlineStr">
        <is>
          <t>Vous aimez résoudre les conflits entre les gens. Surtout ceux qui sont liés aux personnes de votre entourage proche.</t>
        </is>
      </c>
      <c r="BG18" s="24" t="inlineStr">
        <is>
          <t>Vous n'êtes pas un spécialiste de la coordination du travail à distance, vous préférez gérer les choses en présentiel.</t>
        </is>
      </c>
      <c r="BH18" s="24" t="inlineStr">
        <is>
          <t>Vous n'aimez pas l'exclusion. Vous avez tendance à inclure les gens dans votre groupe si vous les sentez seuls ou isolés.</t>
        </is>
      </c>
      <c r="BI18" s="24" t="inlineStr">
        <is>
          <t>Vous pouvez parfois manquer d'esprit d'initiative.</t>
        </is>
      </c>
      <c r="BJ18" s="24" t="inlineStr">
        <is>
          <t>Vous n'aimez pas valoriser les gens inutilement. Surtout quand vous estimez que ça les induirait en erreur.</t>
        </is>
      </c>
      <c r="BK18" s="24" t="inlineStr">
        <is>
          <t>Vous avez du charisme, mais vous pouvez encore le développer.</t>
        </is>
      </c>
      <c r="BL18" s="24" t="inlineStr">
        <is>
          <t>Vous aimez aider les autres à s’élever et se parfaire. Vous prodiguez souvent des conseils.</t>
        </is>
      </c>
      <c r="BM18" s="24" t="inlineStr">
        <is>
          <t>Vous aimez prendre le lead quand un projet doit se mettre en place. Vous aimez montrer la voie à suivre.</t>
        </is>
      </c>
      <c r="BN18" s="24" t="inlineStr">
        <is>
          <t>Vous n'aimez pas vous autoformer. Vous préférez avoir l'aide d'un mentor ou d'un professeur quand le besoin s'en ressent.</t>
        </is>
      </c>
      <c r="BO18" s="24" t="inlineStr">
        <is>
          <t>Vous n’avez pas besoin d’apprécier une tâche ou une activité, afin de vous concentrer pleinement dessus.</t>
        </is>
      </c>
      <c r="BP18" s="24" t="inlineStr">
        <is>
          <t>Dans un projet de groupe, vous vous focalisez plus sur les outils nécessaires sa réalisation qu'aux relations entre les membres.</t>
        </is>
      </c>
      <c r="BQ18" s="24" t="inlineStr">
        <is>
          <t>Vous aimez gérer votre temps correctement et prendre de l'avance sur les activités.</t>
        </is>
      </c>
      <c r="BR18" s="24" t="inlineStr">
        <is>
          <t>Vous préférez prioriser les choses en fonction de ce qui est nécessaire de faire plutôt qu'en fonction de ce que vous préférez faire.</t>
        </is>
      </c>
      <c r="BS18" s="24" t="inlineStr">
        <is>
          <t>Vous aimez planifier les choses. Vous n'aimez pas être débordé ou perturbé par un manque de prévision.</t>
        </is>
      </c>
      <c r="BT18" s="24" t="inlineStr">
        <is>
          <t>Vous êtes souvent à la recherche de l'efficacité. Vous n'aimez pas les choses qui prennent trop de temps.</t>
        </is>
      </c>
      <c r="BU18" s="24" t="inlineStr">
        <is>
          <t>En général, vous avez du mal à visualiser et prévoir les évènements.</t>
        </is>
      </c>
      <c r="BV18" s="25" t="inlineStr">
        <is>
          <t>En général, vous faites tout pour respecter les délais et horaires fixés.</t>
        </is>
      </c>
    </row>
    <row r="19" ht="288" customHeight="1">
      <c r="B19" s="23" t="inlineStr">
        <is>
          <t>C</t>
        </is>
      </c>
      <c r="C19" s="24" t="inlineStr">
        <is>
          <t>Vous faites beaucoup de faute de français à l'écrit.</t>
        </is>
      </c>
      <c r="D19" s="24" t="inlineStr">
        <is>
          <t>Vous êtes quelqu'un de timide et réservé.</t>
        </is>
      </c>
      <c r="E19" s="24" t="inlineStr">
        <is>
          <t xml:space="preserve">Vous pouvez manquer d'enthousiasme et de dynamisme la majorité du temps. </t>
        </is>
      </c>
      <c r="F19" s="24" t="inlineStr">
        <is>
          <t xml:space="preserve">Vous avez du mal à vous exprimer correctement. </t>
        </is>
      </c>
      <c r="G19" s="24" t="inlineStr">
        <is>
          <t>Vous avez tendance à éviter de blesser les gens lorsque vous débâtez.</t>
        </is>
      </c>
      <c r="H19" s="24" t="inlineStr">
        <is>
          <t>Vous préférez éviter les phases de négociations corsées, quitte à perdre des opportunités.</t>
        </is>
      </c>
      <c r="I19" s="24" t="inlineStr">
        <is>
          <t>Vous êtes quelqu'un de calme et réservé dans vos mouvements.</t>
        </is>
      </c>
      <c r="J19" s="24" t="inlineStr">
        <is>
          <t>Vous avez aussi tendance à éviter les prises de paroles en public. Ce n'est pas votre truc.</t>
        </is>
      </c>
      <c r="K19" s="24" t="inlineStr">
        <is>
          <t xml:space="preserve">Vous avez du mal à capter l'attention des autres quand vous vous exprimez. </t>
        </is>
      </c>
      <c r="L19" s="24" t="inlineStr">
        <is>
          <t>Vous n'êtes pas du type à systématiquement actualiser vos connaissances lorsque vous parlez d'un sujet. Vous préférez utiliser votre expérience et vos souvenirs.</t>
        </is>
      </c>
      <c r="M19" s="24" t="inlineStr">
        <is>
          <t>Vous pouvez parfois manquer de discernement quand la situation l'impose.</t>
        </is>
      </c>
      <c r="N19" s="24" t="inlineStr">
        <is>
          <t>Vous avez aussi beaucoup d'humour. Vous riez parfois quand personne ne le fait, car vous êtes attentifs aux effets comiques.</t>
        </is>
      </c>
      <c r="O19" s="24" t="inlineStr">
        <is>
          <t>Vous pouvez vous montrer ouvert d'esprit même quand une personne n'est pas d'accord avec vous sur un sujet qui vous concerne.</t>
        </is>
      </c>
      <c r="P19" s="24" t="inlineStr">
        <is>
          <t>Vous êtes quelqu'un de créatif.</t>
        </is>
      </c>
      <c r="Q19" s="24" t="inlineStr">
        <is>
          <t>Vous n'êtes pas quelqu'un de curieux. En général, vous préférez que l'information vienne à vous.</t>
        </is>
      </c>
      <c r="R19" s="24" t="inlineStr">
        <is>
          <t>Vous avez tendance à écouter facilement les avis des autres plutôt que vérifier les informations de vous-même.</t>
        </is>
      </c>
      <c r="S19" s="24" t="inlineStr">
        <is>
          <t>Lorsque vous rencontrez un problème, vous avez tendance à vous baser essentiellement sur votre intuition et vos aptitudes. Ce qui peut vous empêcher d'en identifier la source véritable.</t>
        </is>
      </c>
      <c r="T19" s="25" t="inlineStr">
        <is>
          <t>Vous avez tendance à rapidement demander de l'aide lorsque vous rencontrez un problème complexe.</t>
        </is>
      </c>
      <c r="U19" s="24" t="inlineStr">
        <is>
          <t>En général, vous préférez perdre dans l'honneur que gagner dans le déshonneur.</t>
        </is>
      </c>
      <c r="V19" s="24" t="inlineStr">
        <is>
          <t>Votre conscience professionnelle s'arrête quand elle s'oppose à vos émotions ou convictions profondes.</t>
        </is>
      </c>
      <c r="W19" s="24" t="inlineStr">
        <is>
          <t>Vous êtes quelqu’un de loyal.</t>
        </is>
      </c>
      <c r="X19" s="24" t="inlineStr">
        <is>
          <t>Vous êtes quelqu'un de digne. Vous n'aimez pas avoir la sensation d'avoir été aidé pour réussir.</t>
        </is>
      </c>
      <c r="Y19" s="24" t="inlineStr">
        <is>
          <t>Vous avez le sens des responsabilités et souhaitez souvent assumer vos erreurs.</t>
        </is>
      </c>
      <c r="Z19" s="24" t="inlineStr">
        <is>
          <t>Vous n’êtes pas du genre à vous faire mal, afin de réaliser le bonheur des autres.</t>
        </is>
      </c>
      <c r="AA19" s="24" t="inlineStr">
        <is>
          <t>Vous n'êtes pas spécialement écoresponsable.</t>
        </is>
      </c>
      <c r="AB19" s="24" t="inlineStr">
        <is>
          <t>Vous êtes capable de vous engager même si cela peut vous nuire.</t>
        </is>
      </c>
      <c r="AC19" s="24" t="inlineStr">
        <is>
          <t>Vous pouvez souvent faire preuve d'intolérance quant aux avis des autres.</t>
        </is>
      </c>
      <c r="AD19" s="24" t="inlineStr">
        <is>
          <t>Vous détestez être critiqué, surtout par des inconnus.</t>
        </is>
      </c>
      <c r="AE19" s="24" t="inlineStr">
        <is>
          <t>Vous arrivez à comprendre vos émotions et à les expliquer, mais pas facilement.</t>
        </is>
      </c>
      <c r="AF19" s="24" t="inlineStr">
        <is>
          <t>Vous manquez souvent d'empathie dans les situations ou cette faculté est de rigueur.</t>
        </is>
      </c>
      <c r="AG19" s="24" t="inlineStr">
        <is>
          <t>Vous êtes bienveillant avec les personnes que vous appréciez.</t>
        </is>
      </c>
      <c r="AH19" s="24" t="inlineStr">
        <is>
          <t>Vous manquez parfois de confiance en vos capacités.</t>
        </is>
      </c>
      <c r="AI19" s="24" t="inlineStr">
        <is>
          <t>Vous savez gérer vos émotions dans une situation stressantes.</t>
        </is>
      </c>
      <c r="AJ19" s="24" t="inlineStr">
        <is>
          <t>Vous avez du mal à vous maîtriser quand vous vous sentez insulté ou rabaissé.</t>
        </is>
      </c>
      <c r="AK19" s="24" t="inlineStr">
        <is>
          <t>Vous avez de la considération pour les autres. Vous aimez les encourager dans les moments difficiles.</t>
        </is>
      </c>
      <c r="AL19" s="25" t="inlineStr">
        <is>
          <t>Vous êtes quelqu'un de sensible et on peut vous émouvoir facilement.</t>
        </is>
      </c>
      <c r="AM19" s="24" t="inlineStr">
        <is>
          <t>Vous aimez rester dans votre coin, même dans une salle bombée.</t>
        </is>
      </c>
      <c r="AN19" s="24" t="inlineStr">
        <is>
          <t>Vous n'êtes pas du genre à partager vos avantages sans contrepartie.</t>
        </is>
      </c>
      <c r="AO19" s="24" t="inlineStr">
        <is>
          <t>Vous êtes du genre à travailler en équipe uniquement si cela nécessaire. Dans le cas contraire non.</t>
        </is>
      </c>
      <c r="AP19" s="24" t="inlineStr">
        <is>
          <t>Vous n'avez pas la particularité de vouloir découvrir d'autres cultures ou apprendre d'autres langues si ce n'est pas nécessaire.</t>
        </is>
      </c>
      <c r="AQ19" s="24" t="inlineStr">
        <is>
          <t>Vous êtes quelqu'un d'introverti en général. Vous n'allez pas naturellement vers les autres.</t>
        </is>
      </c>
      <c r="AR19" s="24" t="inlineStr">
        <is>
          <t>Vous avez besoin d'avoir des affinités avec les personnes avec qui vous devez collaborer ou échanger.</t>
        </is>
      </c>
      <c r="AS19" s="24" t="inlineStr">
        <is>
          <t>Vous êtes tolérant envers les avis des autres. Même quand les avis négatifs peuvent vous concerner.</t>
        </is>
      </c>
      <c r="AT19" s="24" t="inlineStr">
        <is>
          <t>Vous préférez avoir un petit groupe d'amis plutôt qu’une multitude de connaissances. Ce qui peut vous empêcher d’avoir un réseau de connaissances large.</t>
        </is>
      </c>
      <c r="AU19" s="24" t="inlineStr">
        <is>
          <t>Vous n'êtes pas quelqu'un de très sociable.</t>
        </is>
      </c>
      <c r="AV19" s="24" t="inlineStr">
        <is>
          <t>Vous pouvez parfois manquer d'autonomie dans ce que vous entreprenez.</t>
        </is>
      </c>
      <c r="AW19" s="24" t="inlineStr">
        <is>
          <t>Vous n'avez pas de difficulté déléguer une partie de votre travail aux autres.</t>
        </is>
      </c>
      <c r="AX19" s="24" t="inlineStr">
        <is>
          <t>Vous aimez faciliter le travail des autres lorsque vous travaillez en groupe.</t>
        </is>
      </c>
      <c r="AY19" s="24" t="inlineStr">
        <is>
          <t>Vous êtes très ambitieux. Cependant, vous avez tendance à vous fixer des objectifs sans prendre en compte vos capacités réelles.</t>
        </is>
      </c>
      <c r="AZ19" s="24" t="inlineStr">
        <is>
          <t>Vous n'êtes pas du genre à vouloir prévoir les évènements nuisibles. Vous préférez réagir aux conséquences que les prévenir.</t>
        </is>
      </c>
      <c r="BA19" s="24" t="inlineStr">
        <is>
          <t>Vous avez du mal à prendre certaines décisions importantes, seul. Surtout quand elles vous touchent émotionnellement.</t>
        </is>
      </c>
      <c r="BB19" s="25" t="inlineStr">
        <is>
          <t>Dans un travail de groupe. Vous vous concentrez plus sur votre travail que celui des autres. Vous n'aimez pas contrôler et surveiller.</t>
        </is>
      </c>
      <c r="BC19" s="24" t="inlineStr">
        <is>
          <t>Vous êtes plutôt quelqu'un de flexible, vous essayer de vous adapter aux changements.</t>
        </is>
      </c>
      <c r="BD19" s="24" t="inlineStr">
        <is>
          <t>Vous n'êtes pas perturbé par l'apparition d'évènements imprévus.</t>
        </is>
      </c>
      <c r="BE19" s="24" t="inlineStr">
        <is>
          <t>Vous recherchez plus l'égalité de traitement à l'équité de traitement. Vous aimez que tout le monde soit traité de la même façon, peu importe leur condition.</t>
        </is>
      </c>
      <c r="BF19" s="24" t="inlineStr">
        <is>
          <t>Vous n'aimez pas intervenir et gérer les conflits entre les gens. Vous trouvez cet exercice fatigant ou risqué.</t>
        </is>
      </c>
      <c r="BG19" s="24" t="inlineStr">
        <is>
          <t>Vous n'avez pas de difficulté à vouloir maintenir un travail de groupe efficace en travaillant à distance.</t>
        </is>
      </c>
      <c r="BH19" s="24" t="inlineStr">
        <is>
          <t>Vous n'êtes pas du genre à vouloir inclure des gens dans votre groupe si vous estimez qu'ils ne vous apporteront rien.</t>
        </is>
      </c>
      <c r="BI19" s="24" t="inlineStr">
        <is>
          <t>Vous avez un esprit d'initiative développé.</t>
        </is>
      </c>
      <c r="BJ19" s="24" t="inlineStr">
        <is>
          <t>Vous valorisez facilement le travail ou les réussites des personnes de votre entourage.</t>
        </is>
      </c>
      <c r="BK19" s="24" t="inlineStr">
        <is>
          <t>Vous devez probablement manquer de charisme.</t>
        </is>
      </c>
      <c r="BL19" s="24" t="inlineStr">
        <is>
          <t>Vous n'aimez pas spécialement donner des conseils autres. Vous estimez que chacun doit s'élever par ses propres moyens.</t>
        </is>
      </c>
      <c r="BM19" s="24" t="inlineStr">
        <is>
          <t>Vous n'aimez pas prendre le lead même quand vous le pouvez. Vous préférez laisser ça aux autres.</t>
        </is>
      </c>
      <c r="BN19" s="24" t="inlineStr">
        <is>
          <t>Vous avez peu de difficulté à vous autoformer quand cela vous semble nécessaire.</t>
        </is>
      </c>
      <c r="BO19" s="24" t="inlineStr">
        <is>
          <t>Si une tâche ou une activité ne vous intéresse pas, il vous est difficile de rester longtemps concentré dessus.</t>
        </is>
      </c>
      <c r="BP19" s="24" t="inlineStr">
        <is>
          <t>Dans un projet de groupe, votre attention se porte plus sur les relations entre les membres que sur les outils nécessaires à sa réalisation.</t>
        </is>
      </c>
      <c r="BQ19" s="26" t="inlineStr">
        <is>
          <t>Vous avez du mal à gérer votre temps correctement, lorsque vous entreprenez quelque chose.</t>
        </is>
      </c>
      <c r="BR19" s="24" t="inlineStr">
        <is>
          <t>Vous préférez prioriser les choses en fonction de ce que vous préférez faire, parfois au détriment de ce qui est urgent et important.</t>
        </is>
      </c>
      <c r="BS19" s="24" t="inlineStr">
        <is>
          <t>Vous n'aimez pas planifier les choses et vous avez parfois du mal à le faire.</t>
        </is>
      </c>
      <c r="BT19" s="24" t="inlineStr">
        <is>
          <t>Vous êtes souvent à la recherche de l'efficacité. Vous n'aimez pas les choses qui prennent trop de temps.</t>
        </is>
      </c>
      <c r="BU19" s="25" t="inlineStr">
        <is>
          <t>Vous êtes du type à facilement vous projeter mentalement dans une situation. Vous avez de l'imagination.</t>
        </is>
      </c>
      <c r="BV19" s="25" t="inlineStr">
        <is>
          <t>Vous avez du mal à respecter les délais et les horaires fixés.</t>
        </is>
      </c>
    </row>
    <row r="20" ht="244.8" customHeight="1">
      <c r="B20" s="23" t="inlineStr">
        <is>
          <t>D</t>
        </is>
      </c>
      <c r="C20" s="24" t="inlineStr">
        <is>
          <t>Vous avez certaines difficultés à structurer vos phrases à l'écrit. Vous pouvez faire des fautes de français.</t>
        </is>
      </c>
      <c r="D20" s="24" t="inlineStr">
        <is>
          <t>Cependant vous avez peu d'audace ou de culot quand il s'agit de s'adresser aux personnes qui vous semblent impressionnantes.</t>
        </is>
      </c>
      <c r="E20" s="24" t="inlineStr">
        <is>
          <t xml:space="preserve">Vous pouvez manquer d'enthousiasme et de dynamisme la majorité du temps. </t>
        </is>
      </c>
      <c r="F20" s="24" t="inlineStr">
        <is>
          <t>Vous avez des problèmes d'élocution. Vous avez du mal à structurer des phrases claires et précises.</t>
        </is>
      </c>
      <c r="G20" s="24" t="inlineStr">
        <is>
          <t>Vous êtes extrêmement diplomate dans vos propos, vous cherchez toujours les termes et tournures de phrases les moins choquantes.</t>
        </is>
      </c>
      <c r="H20" s="24" t="inlineStr">
        <is>
          <t>Vous considérez les phases de négociation comme des échanges agressifs et inutiles.</t>
        </is>
      </c>
      <c r="I20" s="26" t="inlineStr">
        <is>
          <t>Vous êtes plutôt timide et recroquevillé sur vous-même quand vous vous exprimez.</t>
        </is>
      </c>
      <c r="J20" s="24" t="inlineStr">
        <is>
          <t xml:space="preserve"> Parler devant une foule vous met mal à l'aise et peut vous stresser.</t>
        </is>
      </c>
      <c r="K20" s="24" t="inlineStr">
        <is>
          <t>Vous avez de vraies difficultés à structurer vos pensées et votre discours lorsque vous évoquez un évènement ou des anecdotes.</t>
        </is>
      </c>
      <c r="L20" s="24" t="inlineStr">
        <is>
          <t>Vous n'êtes pas du type à systématiquement actualiser vos connaissances lorsque vous parlez d'un sujet. Vous préférez utiliser votre expérience et vos souvenirs.</t>
        </is>
      </c>
      <c r="M20" s="24" t="inlineStr">
        <is>
          <t>Vous pouvez parfois manquer de discernement quand la situation l'impose.</t>
        </is>
      </c>
      <c r="N20" s="24" t="inlineStr">
        <is>
          <t xml:space="preserve">Vous avez tendance à tourner les choses à la dérision. Vous êtes un comique de situation. </t>
        </is>
      </c>
      <c r="O20" s="24" t="inlineStr">
        <is>
          <t>Vous pouvez vous montrer ouvert d'esprit même quand une personne n'est pas d'accord avec vous sur certains sujets.</t>
        </is>
      </c>
      <c r="P20" s="24" t="inlineStr">
        <is>
          <t>Vous êtes quelqu'un de créatif. Vous avez  beaucoup d'imagination.</t>
        </is>
      </c>
      <c r="Q20" s="24" t="inlineStr">
        <is>
          <t>Vous n'êtes pas quelqu'un de curieux. En général, vous préférez que l'information vienne à vous.</t>
        </is>
      </c>
      <c r="R20" s="24" t="inlineStr">
        <is>
          <t>Vous préférez vous servir de votre intuition plutôt que de vos sens afin d'émettre un jugement.</t>
        </is>
      </c>
      <c r="S20" s="24" t="inlineStr">
        <is>
          <t>Vous avez du mal avec les problèmes qui demandent de mettre les émotions de côté. Vous préférez faire appel à votre cœur plus qu'a votre tête.</t>
        </is>
      </c>
      <c r="T20" s="25" t="inlineStr">
        <is>
          <t>Face à une complexité, vous préférez vous servir de votre intuition plutôt que  de rechercher la source du problème pour pouvoir le résoudre.</t>
        </is>
      </c>
      <c r="U20" s="24" t="inlineStr">
        <is>
          <t>En général, vous préférez perdre dans l'honneur que gagner dans le déshonneur.</t>
        </is>
      </c>
      <c r="V20" s="24" t="inlineStr">
        <is>
          <t>Votre conscience professionnelle s'arrête quand elle s'oppose à vos émotions ou convictions profondes.</t>
        </is>
      </c>
      <c r="W20" s="24" t="inlineStr">
        <is>
          <t>Vous êtes quelqu’un de loyal. Parfois trop.</t>
        </is>
      </c>
      <c r="X20" s="24" t="inlineStr">
        <is>
          <t>Vous êtes quelqu'un de digne. Vous n'aimez pas avoir la sensation d'avoir été aidé pour réussir.</t>
        </is>
      </c>
      <c r="Y20" s="24" t="inlineStr">
        <is>
          <t>Vous avez le sens des responsabilités et souhaitez souvent assumer vos erreurs.</t>
        </is>
      </c>
      <c r="Z20" s="24" t="inlineStr">
        <is>
          <t>Vous n’êtes pas du genre à faire vous faire mal afin de réaliser le bonheur des autres.</t>
        </is>
      </c>
      <c r="AA20" s="24" t="inlineStr">
        <is>
          <t>La protection de l'environnement n'est pas votre priorité absolue.</t>
        </is>
      </c>
      <c r="AB20" s="24" t="inlineStr">
        <is>
          <t>Vous êtes capable de vous engager même si cela peut vous nuire.</t>
        </is>
      </c>
      <c r="AC20" s="24" t="inlineStr">
        <is>
          <t>Vous pouvez souvent faire preuve d'intolérance quant aux avis des autres, surtout quand ils sont en contradiction avec les vôtres.</t>
        </is>
      </c>
      <c r="AD20" s="24" t="inlineStr">
        <is>
          <t>Vous détestez être critiqué, surtout par des inconnus.</t>
        </is>
      </c>
      <c r="AE20" s="24" t="inlineStr">
        <is>
          <t>Vous arrivez à comprendre vos émotions et à les expliquer facilement.</t>
        </is>
      </c>
      <c r="AF20" s="24" t="inlineStr">
        <is>
          <t>Vous manquez souvent d'empathie dans les situations ou cette faculté est de rigueur.</t>
        </is>
      </c>
      <c r="AG20" s="24" t="inlineStr">
        <is>
          <t>Vous êtes bienveillant même avec les personnes que vous connaissez peu.</t>
        </is>
      </c>
      <c r="AH20" s="24" t="inlineStr">
        <is>
          <t>Vous manquez parfois de confiance en vos capacités.</t>
        </is>
      </c>
      <c r="AI20" s="24" t="inlineStr">
        <is>
          <t xml:space="preserve">
Vous pouvez être décalé en situation de stress, comme si vous étiez insensible à la situation.</t>
        </is>
      </c>
      <c r="AJ20" s="24" t="inlineStr">
        <is>
          <t>Vous avez du mal à vous maîtriser quand vous vous sentez insulté ou rabaissé.</t>
        </is>
      </c>
      <c r="AK20" s="24" t="inlineStr">
        <is>
          <t>Vous avez de la considération pour les autres. Vous aimez les encourager dans les moments difficiles.</t>
        </is>
      </c>
      <c r="AL20" s="25" t="inlineStr">
        <is>
          <t>Vous êtes quelqu'un de sensible et on peut vous émouvoir facilement.</t>
        </is>
      </c>
      <c r="AM20" s="24" t="inlineStr">
        <is>
          <t>Vous aimez rester dans votre coin, surtout dans une salle remplie de monde.</t>
        </is>
      </c>
      <c r="AN20" s="24" t="inlineStr">
        <is>
          <t>Il faut vraiment que vous appréciiez quelqu'un pour que vous puissiez partager vos avantages avec lui.</t>
        </is>
      </c>
      <c r="AO20" s="24" t="inlineStr">
        <is>
          <t>Vous êtes du genre à travailler en équipe uniquement si cela nécessaire. Dans le cas contraire non.</t>
        </is>
      </c>
      <c r="AP20" s="24" t="inlineStr">
        <is>
          <t>Vous n'avez pas la particularité de vouloir découvrir d'autres cultures ou apprendre d'autres langues si ce n'est pas nécessaire.</t>
        </is>
      </c>
      <c r="AQ20" s="24" t="inlineStr">
        <is>
          <t>Vous êtes quelqu'un d'introverti en général. Vous n'allez pas naturellement vers les autres.</t>
        </is>
      </c>
      <c r="AR20" s="24" t="inlineStr">
        <is>
          <t>Vous avez besoin d'avoir des affinités avec les personnes avec qui vous devez collaborer ou échanger.</t>
        </is>
      </c>
      <c r="AS20" s="24" t="inlineStr">
        <is>
          <t>Vous êtes tolérant envers les avis des autres. Même quand les avis négatifs peuvent vous concerner.</t>
        </is>
      </c>
      <c r="AT20" s="24" t="inlineStr">
        <is>
          <t>Vous êtes quelqu'un de solitaire.</t>
        </is>
      </c>
      <c r="AU20" s="24" t="inlineStr">
        <is>
          <t>Vous n'êtes pas quelqu'un de très sociable.</t>
        </is>
      </c>
      <c r="AV20" s="24" t="inlineStr">
        <is>
          <t>Vous pouvez parfois manquer d'autonomie dans ce que vous entreprenez.</t>
        </is>
      </c>
      <c r="AW20" s="24" t="inlineStr">
        <is>
          <t xml:space="preserve">Vous aimez déléguer une partie de votre travail, car cela vous permet de vous concentrer sur ce que vous considérez comme important.
</t>
        </is>
      </c>
      <c r="AX20" s="24" t="inlineStr">
        <is>
          <t>Vous aimez faciliter le travail des autres lorsque vous travaillez en groupe.</t>
        </is>
      </c>
      <c r="AY20" s="24" t="inlineStr">
        <is>
          <t>Vous êtes très ambitieux. Cependant, vous avez tendance à vous fixer des objectifs sans prendre en compte vos capacités réelles.</t>
        </is>
      </c>
      <c r="AZ20" s="24" t="inlineStr">
        <is>
          <t>Vous n'êtes pas du genre à vouloir prévoir les évènements nuisibles. Vous préférez réagir aux conséquences que les prévenir.</t>
        </is>
      </c>
      <c r="BA20" s="24" t="inlineStr">
        <is>
          <t>Vous avez du mal à prendre des décisions qui peuvent entraîner des conséquences graves sur les autres.</t>
        </is>
      </c>
      <c r="BB20" s="25" t="inlineStr">
        <is>
          <t>Dans un travail de groupe. Vous vous concentrez plus sur votre travail que celui des autres. Vous n'aimez pas contrôler et surveiller.</t>
        </is>
      </c>
      <c r="BC20" s="24" t="inlineStr">
        <is>
          <t>Vous êtes plutôt quelqu'un de flexible, vous essayer de vous adapter aux changements.</t>
        </is>
      </c>
      <c r="BD20" s="24" t="inlineStr">
        <is>
          <t>Vous n'êtes pas perturbé par l'apparition d'évènements imprévus. Vous les trouvez parfois galvanisant.</t>
        </is>
      </c>
      <c r="BE20" s="24" t="inlineStr">
        <is>
          <t>Vous recherchez plus l'égalité de traitement à l'équité de traitement. Vous aimez que tout le monde soit traité de la même façon, peu importe leur condition.</t>
        </is>
      </c>
      <c r="BF20" s="24" t="inlineStr">
        <is>
          <t>Vous n'aimez pas intervenir et gérer les conflits entre les gens. Vous trouvez cet exercice fatigant ou risqué.</t>
        </is>
      </c>
      <c r="BG20" s="24" t="inlineStr">
        <is>
          <t>Vous n'avez pas de difficulté à vouloir maintenir un travail de groupe efficace en travaillant à distance.</t>
        </is>
      </c>
      <c r="BH20" s="24" t="inlineStr">
        <is>
          <t>Vous n'êtes pas du genre à vouloir inclure des gens dans votre groupe si vous estimez qu'ils ne vous apporteront rien.</t>
        </is>
      </c>
      <c r="BI20" s="24" t="inlineStr">
        <is>
          <t>Vous avez un esprit d'initiative développé, et êtes courageux dans ce que vous entreprenez.</t>
        </is>
      </c>
      <c r="BJ20" s="24" t="inlineStr">
        <is>
          <t>Vous valorisez facilement le travail ou les réussites des personnes de votre entourage.</t>
        </is>
      </c>
      <c r="BK20" s="24" t="inlineStr">
        <is>
          <t>Vous devez probablement manquer de charisme.</t>
        </is>
      </c>
      <c r="BL20" s="24" t="inlineStr">
        <is>
          <t>Vous n'aimez pas spécialement donner des conseils autres. Vous estimez que chacun doit s'élever par ses propres moyens.</t>
        </is>
      </c>
      <c r="BM20" s="24" t="inlineStr">
        <is>
          <t>Vous n'aimez pas prendre le lead même quand vous le pouvez. Vous préférez laisser ça aux autres.</t>
        </is>
      </c>
      <c r="BN20" s="24" t="inlineStr">
        <is>
          <t>Vous avez peu de difficulté à vous autoformer quand cela vous semble nécessaire.</t>
        </is>
      </c>
      <c r="BO20" s="24" t="inlineStr">
        <is>
          <t>Si vous trouvez une tâche ou une activité ennuyeuse, vous aurez énormément de mal à vous concentrer dessus, peu importe son importance.</t>
        </is>
      </c>
      <c r="BP20" s="24" t="inlineStr">
        <is>
          <t>Dans un projet de groupe, votre attention se porte plus sur les relations entre les membres que sur les outils nécessaires à sa réalisation.</t>
        </is>
      </c>
      <c r="BQ20" s="24" t="inlineStr">
        <is>
          <t>Vous avez du mal à gérer votre temps correctement, lorsque vous entreprenez quelque chose.</t>
        </is>
      </c>
      <c r="BR20" s="24" t="inlineStr">
        <is>
          <t>Vous préférez prioriser les choses en fonction de ce que vous préférez faire, parfois au détriment de ce qui est urgent et important.</t>
        </is>
      </c>
      <c r="BS20" s="24" t="inlineStr">
        <is>
          <t>Vous n'aimez pas planifier les choses et vous avez parfois du mal à le faire.</t>
        </is>
      </c>
      <c r="BT20" s="24" t="inlineStr">
        <is>
          <t>Vous avez du mal à être efficace lorsque vous êtes au dos du mur ou sous pression.</t>
        </is>
      </c>
      <c r="BU20" s="25" t="inlineStr">
        <is>
          <t>Vous êtes du type à facilement vous projeter mentalement dans une situation. Vous avez de l'imagination.</t>
        </is>
      </c>
      <c r="BV20" s="25" t="inlineStr">
        <is>
          <t>Vous avez du mal à respecter les délais et les horaires fixés.</t>
        </is>
      </c>
    </row>
  </sheetData>
  <conditionalFormatting sqref="C9:AU9 AW9:BV9">
    <cfRule type="expression" priority="7" dxfId="1">
      <formula>E9="c"</formula>
    </cfRule>
  </conditionalFormatting>
  <conditionalFormatting sqref="C10:AU10 AW10:BV10">
    <cfRule type="expression" priority="6" dxfId="0">
      <formula>D10="d"</formula>
    </cfRule>
  </conditionalFormatting>
  <conditionalFormatting sqref="C7:BT7 BV7">
    <cfRule type="expression" priority="5" dxfId="1">
      <formula>G7="A"</formula>
    </cfRule>
  </conditionalFormatting>
  <conditionalFormatting sqref="C8:BT8 BV8">
    <cfRule type="expression" priority="4" dxfId="1">
      <formula>F8="b"</formula>
    </cfRule>
  </conditionalFormatting>
  <conditionalFormatting sqref="M6">
    <cfRule type="expression" priority="3" dxfId="1">
      <formula>Q6="A"</formula>
    </cfRule>
  </conditionalFormatting>
  <conditionalFormatting sqref="AV9">
    <cfRule type="expression" priority="8" dxfId="1">
      <formula>#REF!="A"</formula>
    </cfRule>
  </conditionalFormatting>
  <conditionalFormatting sqref="AV10">
    <cfRule type="expression" priority="9" dxfId="1">
      <formula>#REF!="b"</formula>
    </cfRule>
  </conditionalFormatting>
  <conditionalFormatting sqref="BU7">
    <cfRule type="expression" priority="2" dxfId="1">
      <formula>BW7="c"</formula>
    </cfRule>
  </conditionalFormatting>
  <conditionalFormatting sqref="BU8">
    <cfRule type="expression" priority="1" dxfId="0">
      <formula>BV8="d"</formula>
    </cfRule>
  </conditionalFormatting>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Frédéric Dayas</dc:creator>
  <dcterms:created xmlns:dcterms="http://purl.org/dc/terms/" xmlns:xsi="http://www.w3.org/2001/XMLSchema-instance" xsi:type="dcterms:W3CDTF">2022-06-15T07:51:23Z</dcterms:created>
  <dcterms:modified xmlns:dcterms="http://purl.org/dc/terms/" xmlns:xsi="http://www.w3.org/2001/XMLSchema-instance" xsi:type="dcterms:W3CDTF">2026-03-20T17:20:16Z</dcterms:modified>
  <cp:lastModifiedBy>Frédéric Dayas</cp:lastModifiedBy>
  <cp:lastPrinted>2022-10-14T13:51:17Z</cp:lastPrinted>
</cp:coreProperties>
</file>